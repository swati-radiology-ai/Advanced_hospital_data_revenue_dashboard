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87db41d7782c265b/Desktop/"/>
    </mc:Choice>
  </mc:AlternateContent>
  <xr:revisionPtr revIDLastSave="1" documentId="8_{3F3A5F59-AAEB-4A00-BFD9-17C8F266EBD1}" xr6:coauthVersionLast="47" xr6:coauthVersionMax="47" xr10:uidLastSave="{3E0AEF9F-4A38-4531-8193-8EB2884228DB}"/>
  <bookViews>
    <workbookView xWindow="-110" yWindow="-110" windowWidth="19420" windowHeight="11500" xr2:uid="{5C46C89C-FAC3-4558-BCD9-FD2A733833F5}"/>
  </bookViews>
  <sheets>
    <sheet name="Sheet2" sheetId="2" r:id="rId1"/>
    <sheet name="Sheet1" sheetId="1" r:id="rId2"/>
    <sheet name="Sheet3" sheetId="3" r:id="rId3"/>
  </sheets>
  <definedNames>
    <definedName name="Slicer_Date">#N/A</definedName>
    <definedName name="Slicer_Doctor_Name">#N/A</definedName>
    <definedName name="Slicer_Payment_Mode_Cash_UPI_Card">#N/A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2"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3" i="1"/>
  <c r="J4" i="1"/>
  <c r="J5" i="1"/>
  <c r="J6" i="1"/>
  <c r="J7" i="1"/>
  <c r="J2" i="1"/>
  <c r="K3" i="1" a="1"/>
  <c r="K3" i="1" s="1"/>
  <c r="K4" i="1" a="1"/>
  <c r="K4" i="1" s="1"/>
  <c r="K5" i="1" a="1"/>
  <c r="K5" i="1" s="1"/>
  <c r="K6" i="1" a="1"/>
  <c r="K6" i="1" s="1"/>
  <c r="K7" i="1" a="1"/>
  <c r="K7" i="1" s="1"/>
  <c r="K8" i="1" a="1"/>
  <c r="K8" i="1" s="1"/>
  <c r="K9" i="1" a="1"/>
  <c r="K9" i="1" s="1"/>
  <c r="K10" i="1" a="1"/>
  <c r="K10" i="1" s="1"/>
  <c r="K11" i="1" a="1"/>
  <c r="K11" i="1" s="1"/>
  <c r="K12" i="1" a="1"/>
  <c r="K12" i="1" s="1"/>
  <c r="K13" i="1" a="1"/>
  <c r="K13" i="1" s="1"/>
  <c r="K14" i="1" a="1"/>
  <c r="K14" i="1" s="1"/>
  <c r="K15" i="1" a="1"/>
  <c r="K15" i="1" s="1"/>
  <c r="K16" i="1" a="1"/>
  <c r="K16" i="1" s="1"/>
  <c r="K17" i="1" a="1"/>
  <c r="K17" i="1" s="1"/>
  <c r="K18" i="1" a="1"/>
  <c r="K18" i="1" s="1"/>
  <c r="K19" i="1" a="1"/>
  <c r="K19" i="1" s="1"/>
  <c r="K20" i="1" a="1"/>
  <c r="K20" i="1" s="1"/>
  <c r="K21" i="1" a="1"/>
  <c r="K21" i="1" s="1"/>
  <c r="K22" i="1" a="1"/>
  <c r="K22" i="1" s="1"/>
  <c r="K23" i="1" a="1"/>
  <c r="K23" i="1" s="1"/>
  <c r="K24" i="1" a="1"/>
  <c r="K24" i="1" s="1"/>
  <c r="K25" i="1" a="1"/>
  <c r="K25" i="1" s="1"/>
  <c r="K26" i="1" a="1"/>
  <c r="K26" i="1" s="1"/>
  <c r="K27" i="1" a="1"/>
  <c r="K27" i="1" s="1"/>
  <c r="K28" i="1" a="1"/>
  <c r="K28" i="1" s="1"/>
  <c r="K29" i="1" a="1"/>
  <c r="K29" i="1" s="1"/>
  <c r="K30" i="1" a="1"/>
  <c r="K30" i="1" s="1"/>
  <c r="K31" i="1" a="1"/>
  <c r="K31" i="1" s="1"/>
  <c r="K32" i="1" a="1"/>
  <c r="K32" i="1" s="1"/>
  <c r="K33" i="1" a="1"/>
  <c r="K33" i="1" s="1"/>
  <c r="K34" i="1" a="1"/>
  <c r="K34" i="1" s="1"/>
  <c r="K35" i="1" a="1"/>
  <c r="K35" i="1" s="1"/>
  <c r="K36" i="1" a="1"/>
  <c r="K36" i="1" s="1"/>
  <c r="K37" i="1" a="1"/>
  <c r="K37" i="1" s="1"/>
  <c r="K38" i="1" a="1"/>
  <c r="K38" i="1" s="1"/>
  <c r="K39" i="1" a="1"/>
  <c r="K39" i="1" s="1"/>
  <c r="K40" i="1" a="1"/>
  <c r="K40" i="1" s="1"/>
  <c r="K41" i="1" a="1"/>
  <c r="K41" i="1" s="1"/>
  <c r="K42" i="1" a="1"/>
  <c r="K42" i="1" s="1"/>
  <c r="K43" i="1" a="1"/>
  <c r="K43" i="1" s="1"/>
  <c r="K44" i="1" a="1"/>
  <c r="K44" i="1" s="1"/>
  <c r="K45" i="1" a="1"/>
  <c r="K45" i="1" s="1"/>
  <c r="K46" i="1" a="1"/>
  <c r="K46" i="1" s="1"/>
  <c r="K47" i="1" a="1"/>
  <c r="K47" i="1" s="1"/>
  <c r="K48" i="1" a="1"/>
  <c r="K48" i="1" s="1"/>
  <c r="K49" i="1" a="1"/>
  <c r="K49" i="1" s="1"/>
  <c r="K50" i="1" a="1"/>
  <c r="K50" i="1" s="1"/>
  <c r="K51" i="1" a="1"/>
  <c r="K51" i="1" s="1"/>
  <c r="K2" i="1" a="1"/>
  <c r="K2" i="1" s="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2" i="1"/>
  <c r="D3" i="1"/>
  <c r="C3" i="1" s="1" a="1"/>
  <c r="C3" i="1" s="1"/>
  <c r="D4" i="1"/>
  <c r="C4" i="1" s="1" a="1"/>
  <c r="C4" i="1" s="1"/>
  <c r="D5" i="1"/>
  <c r="C5" i="1" s="1" a="1"/>
  <c r="C5" i="1" s="1"/>
  <c r="D6" i="1"/>
  <c r="C6" i="1" s="1" a="1"/>
  <c r="C6" i="1" s="1"/>
  <c r="D7" i="1"/>
  <c r="C7" i="1" s="1" a="1"/>
  <c r="C7" i="1" s="1"/>
  <c r="D8" i="1"/>
  <c r="C8" i="1" s="1" a="1"/>
  <c r="C8" i="1" s="1"/>
  <c r="D9" i="1"/>
  <c r="C9" i="1" s="1" a="1"/>
  <c r="C9" i="1" s="1"/>
  <c r="D10" i="1"/>
  <c r="C10" i="1" s="1" a="1"/>
  <c r="C10" i="1" s="1"/>
  <c r="D11" i="1"/>
  <c r="C11" i="1" s="1" a="1"/>
  <c r="C11" i="1" s="1"/>
  <c r="D12" i="1"/>
  <c r="C12" i="1" s="1" a="1"/>
  <c r="C12" i="1" s="1"/>
  <c r="D13" i="1"/>
  <c r="C13" i="1" s="1" a="1"/>
  <c r="C13" i="1" s="1"/>
  <c r="D14" i="1"/>
  <c r="C14" i="1" s="1" a="1"/>
  <c r="C14" i="1" s="1"/>
  <c r="D15" i="1"/>
  <c r="C15" i="1" s="1" a="1"/>
  <c r="C15" i="1" s="1"/>
  <c r="D16" i="1"/>
  <c r="C16" i="1" s="1" a="1"/>
  <c r="C16" i="1" s="1"/>
  <c r="D17" i="1"/>
  <c r="C17" i="1" s="1" a="1"/>
  <c r="C17" i="1" s="1"/>
  <c r="D18" i="1"/>
  <c r="C18" i="1" s="1" a="1"/>
  <c r="C18" i="1" s="1"/>
  <c r="D19" i="1"/>
  <c r="C19" i="1" s="1" a="1"/>
  <c r="C19" i="1" s="1"/>
  <c r="D20" i="1"/>
  <c r="C20" i="1" s="1" a="1"/>
  <c r="C20" i="1" s="1"/>
  <c r="D21" i="1"/>
  <c r="C21" i="1" s="1" a="1"/>
  <c r="C21" i="1" s="1"/>
  <c r="D22" i="1"/>
  <c r="C22" i="1" s="1" a="1"/>
  <c r="C22" i="1" s="1"/>
  <c r="D23" i="1"/>
  <c r="C23" i="1" s="1" a="1"/>
  <c r="C23" i="1" s="1"/>
  <c r="D24" i="1"/>
  <c r="C24" i="1" s="1" a="1"/>
  <c r="C24" i="1" s="1"/>
  <c r="D25" i="1"/>
  <c r="C25" i="1" s="1" a="1"/>
  <c r="C25" i="1" s="1"/>
  <c r="D26" i="1"/>
  <c r="C26" i="1" s="1" a="1"/>
  <c r="C26" i="1" s="1"/>
  <c r="D27" i="1"/>
  <c r="C27" i="1" s="1" a="1"/>
  <c r="C27" i="1" s="1"/>
  <c r="D28" i="1"/>
  <c r="C28" i="1" s="1" a="1"/>
  <c r="C28" i="1" s="1"/>
  <c r="D29" i="1"/>
  <c r="C29" i="1" s="1" a="1"/>
  <c r="C29" i="1" s="1"/>
  <c r="D30" i="1"/>
  <c r="C30" i="1" s="1" a="1"/>
  <c r="C30" i="1" s="1"/>
  <c r="D31" i="1"/>
  <c r="C31" i="1" s="1" a="1"/>
  <c r="C31" i="1" s="1"/>
  <c r="D32" i="1"/>
  <c r="C32" i="1" s="1" a="1"/>
  <c r="C32" i="1" s="1"/>
  <c r="D33" i="1"/>
  <c r="C33" i="1" s="1" a="1"/>
  <c r="C33" i="1" s="1"/>
  <c r="D34" i="1"/>
  <c r="C34" i="1" s="1" a="1"/>
  <c r="C34" i="1" s="1"/>
  <c r="D35" i="1"/>
  <c r="C35" i="1" s="1" a="1"/>
  <c r="C35" i="1" s="1"/>
  <c r="D36" i="1"/>
  <c r="C36" i="1" s="1" a="1"/>
  <c r="C36" i="1" s="1"/>
  <c r="D37" i="1"/>
  <c r="C37" i="1" s="1" a="1"/>
  <c r="C37" i="1" s="1"/>
  <c r="D38" i="1"/>
  <c r="C38" i="1" s="1" a="1"/>
  <c r="C38" i="1" s="1"/>
  <c r="D39" i="1"/>
  <c r="C39" i="1" s="1" a="1"/>
  <c r="C39" i="1" s="1"/>
  <c r="D40" i="1"/>
  <c r="C40" i="1" s="1" a="1"/>
  <c r="C40" i="1" s="1"/>
  <c r="D41" i="1"/>
  <c r="C41" i="1" s="1" a="1"/>
  <c r="C41" i="1" s="1"/>
  <c r="D42" i="1"/>
  <c r="C42" i="1" s="1" a="1"/>
  <c r="C42" i="1" s="1"/>
  <c r="D43" i="1"/>
  <c r="C43" i="1" s="1" a="1"/>
  <c r="C43" i="1" s="1"/>
  <c r="D44" i="1"/>
  <c r="C44" i="1" s="1" a="1"/>
  <c r="C44" i="1" s="1"/>
  <c r="D45" i="1"/>
  <c r="C45" i="1" s="1" a="1"/>
  <c r="C45" i="1" s="1"/>
  <c r="D46" i="1"/>
  <c r="C46" i="1" s="1" a="1"/>
  <c r="C46" i="1" s="1"/>
  <c r="D47" i="1"/>
  <c r="C47" i="1" s="1" a="1"/>
  <c r="C47" i="1" s="1"/>
  <c r="D48" i="1"/>
  <c r="C48" i="1" s="1" a="1"/>
  <c r="C48" i="1" s="1"/>
  <c r="D49" i="1"/>
  <c r="C49" i="1" s="1" a="1"/>
  <c r="C49" i="1" s="1"/>
  <c r="D50" i="1"/>
  <c r="C50" i="1" s="1" a="1"/>
  <c r="C50" i="1" s="1"/>
  <c r="D51" i="1"/>
  <c r="C51" i="1" s="1" a="1"/>
  <c r="C51" i="1" s="1"/>
  <c r="D2" i="1"/>
  <c r="C2" i="1" s="1" a="1"/>
  <c r="C2" i="1" s="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I51" i="1" a="1"/>
  <c r="I51" i="1" s="1"/>
  <c r="I50" i="1" a="1"/>
  <c r="I50" i="1" s="1"/>
  <c r="I49" i="1" a="1"/>
  <c r="I49" i="1" s="1"/>
  <c r="I48" i="1" a="1"/>
  <c r="I48" i="1" s="1"/>
  <c r="I47" i="1" a="1"/>
  <c r="I47" i="1" s="1"/>
  <c r="I46" i="1" a="1"/>
  <c r="I46" i="1" s="1"/>
  <c r="I45" i="1" a="1"/>
  <c r="I45" i="1" s="1"/>
  <c r="I44" i="1" a="1"/>
  <c r="I44" i="1" s="1"/>
  <c r="I43" i="1" a="1"/>
  <c r="I43" i="1" s="1"/>
  <c r="I42" i="1" a="1"/>
  <c r="I42" i="1" s="1"/>
  <c r="I41" i="1" a="1"/>
  <c r="I41" i="1" s="1"/>
  <c r="I40" i="1" a="1"/>
  <c r="I40" i="1" s="1"/>
  <c r="I39" i="1" a="1"/>
  <c r="I39" i="1" s="1"/>
  <c r="I38" i="1" a="1"/>
  <c r="I38" i="1" s="1"/>
  <c r="I37" i="1" a="1"/>
  <c r="I37" i="1" s="1"/>
  <c r="I36" i="1" a="1"/>
  <c r="I36" i="1" s="1"/>
  <c r="I35" i="1" a="1"/>
  <c r="I35" i="1" s="1"/>
  <c r="I34" i="1" a="1"/>
  <c r="I34" i="1" s="1"/>
  <c r="I33" i="1" a="1"/>
  <c r="I33" i="1" s="1"/>
  <c r="I32" i="1" a="1"/>
  <c r="I32" i="1" s="1"/>
  <c r="I31" i="1" a="1"/>
  <c r="I31" i="1" s="1"/>
  <c r="I30" i="1" a="1"/>
  <c r="I30" i="1" s="1"/>
  <c r="I29" i="1" a="1"/>
  <c r="I29" i="1" s="1"/>
  <c r="I28" i="1" a="1"/>
  <c r="I28" i="1" s="1"/>
  <c r="I27" i="1" a="1"/>
  <c r="I27" i="1" s="1"/>
  <c r="I26" i="1" a="1"/>
  <c r="I26" i="1" s="1"/>
  <c r="I25" i="1" a="1"/>
  <c r="I25" i="1" s="1"/>
  <c r="I24" i="1" a="1"/>
  <c r="I24" i="1" s="1"/>
  <c r="I14" i="1" a="1"/>
  <c r="I14" i="1" s="1"/>
  <c r="I13" i="1" a="1"/>
  <c r="I13" i="1" s="1"/>
  <c r="I12" i="1" a="1"/>
  <c r="I12" i="1" s="1"/>
  <c r="I11" i="1" a="1"/>
  <c r="I11" i="1" s="1"/>
  <c r="I10" i="1" a="1"/>
  <c r="I10" i="1" s="1"/>
  <c r="I9" i="1" a="1"/>
  <c r="I9" i="1" s="1"/>
  <c r="I8" i="1" a="1"/>
  <c r="I8" i="1" s="1"/>
  <c r="I7" i="1" a="1"/>
  <c r="I7" i="1" s="1"/>
  <c r="I6" i="1" a="1"/>
  <c r="I6" i="1" s="1"/>
  <c r="I5" i="1" a="1"/>
  <c r="I5" i="1" s="1"/>
  <c r="I4" i="1" a="1"/>
  <c r="I4" i="1" s="1"/>
  <c r="I3" i="1" a="1"/>
  <c r="I3" i="1" s="1"/>
  <c r="I2" i="1" a="1"/>
  <c r="I2" i="1" s="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B2" i="1"/>
  <c r="A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<sst xmlns="http://schemas.openxmlformats.org/spreadsheetml/2006/main" count="319" uniqueCount="67">
  <si>
    <t>Date</t>
  </si>
  <si>
    <t>Patient_ID</t>
  </si>
  <si>
    <t>Patient_Name</t>
  </si>
  <si>
    <t>Department</t>
  </si>
  <si>
    <t>Test_Type</t>
  </si>
  <si>
    <t>Revenue</t>
  </si>
  <si>
    <t>Doctor_Name</t>
  </si>
  <si>
    <t>MRI</t>
  </si>
  <si>
    <t>CT</t>
  </si>
  <si>
    <t>X-RAY</t>
  </si>
  <si>
    <t>Brain MRI</t>
  </si>
  <si>
    <t>Spine MRI</t>
  </si>
  <si>
    <t>Chest CT</t>
  </si>
  <si>
    <t>Abdomen CT</t>
  </si>
  <si>
    <t>X-RAY Hand</t>
  </si>
  <si>
    <t>X-RAY Chest</t>
  </si>
  <si>
    <t>X-RAY CHEST</t>
  </si>
  <si>
    <t>Dr . Sharma</t>
  </si>
  <si>
    <t>Dr . Verma</t>
  </si>
  <si>
    <t>Dr . Singh</t>
  </si>
  <si>
    <t>Dr . Khan</t>
  </si>
  <si>
    <t>Dr . Gupta</t>
  </si>
  <si>
    <t>Ram</t>
  </si>
  <si>
    <t>Mohit</t>
  </si>
  <si>
    <t>Anushka</t>
  </si>
  <si>
    <t>Shreya</t>
  </si>
  <si>
    <t>kajal</t>
  </si>
  <si>
    <t>Dr.Gupta</t>
  </si>
  <si>
    <t>Dr.Singh</t>
  </si>
  <si>
    <t>Dr.Sharma</t>
  </si>
  <si>
    <t>Dr.Khan</t>
  </si>
  <si>
    <t>Dr.sharma</t>
  </si>
  <si>
    <t>Dr.Verma</t>
  </si>
  <si>
    <t>X-RAY HAND</t>
  </si>
  <si>
    <t>ABDOMEN CT</t>
  </si>
  <si>
    <t>SPINE MRI</t>
  </si>
  <si>
    <t>CHEST CT</t>
  </si>
  <si>
    <t>BRAIN MRI</t>
  </si>
  <si>
    <t>Gender</t>
  </si>
  <si>
    <t>Age</t>
  </si>
  <si>
    <t>seeta</t>
  </si>
  <si>
    <t>kasish</t>
  </si>
  <si>
    <t>FEMALE NAME</t>
  </si>
  <si>
    <t>MALE NAME</t>
  </si>
  <si>
    <t>Shayam</t>
  </si>
  <si>
    <t>Karan</t>
  </si>
  <si>
    <t>Anuj</t>
  </si>
  <si>
    <t>Vansh</t>
  </si>
  <si>
    <t>Radha</t>
  </si>
  <si>
    <t>City</t>
  </si>
  <si>
    <t>Status(completed/pending)</t>
  </si>
  <si>
    <t>DELHI</t>
  </si>
  <si>
    <t>MUMBAI</t>
  </si>
  <si>
    <t>BHOPAL</t>
  </si>
  <si>
    <t>LUCKNOW</t>
  </si>
  <si>
    <t>JAIPUR</t>
  </si>
  <si>
    <t>PUNE</t>
  </si>
  <si>
    <t>NAGPUR</t>
  </si>
  <si>
    <t>INDORE</t>
  </si>
  <si>
    <t>Payment_Mode(Cash,UPI,Card)</t>
  </si>
  <si>
    <t>Row Labels</t>
  </si>
  <si>
    <t>Grand Total</t>
  </si>
  <si>
    <t>Sum of Revenue</t>
  </si>
  <si>
    <t>Jan</t>
  </si>
  <si>
    <t>Feb</t>
  </si>
  <si>
    <t>Mar</t>
  </si>
  <si>
    <t>Sum of Sum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</si>
</sst>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3" x14ac:knownFonts="1">
    <font>
      <sz val="11"/>
      <color theme="1"/>
      <name val="Calibri"/>
      <family val="2"/>
      <scheme val="minor"/>
    </font>
    <font>
      <b/>
      <sz val="12"/>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2">
    <xf numFmtId="0" fontId="0" fillId="0" borderId="0"/>
    <xf numFmtId="43" fontId="2" fillId="0" borderId="0" applyFont="0" applyFill="0" applyBorder="0" applyAlignment="0" applyProtection="0"/>
  </cellStyleXfs>
  <cellXfs count="9">
    <xf numFmtId="0" fontId="0" fillId="0" borderId="0" xfId="0"/>
    <xf numFmtId="0" fontId="1" fillId="2" borderId="0" xfId="0" applyFont="1" applyFill="1"/>
    <xf numFmtId="14" fontId="0" fillId="0" borderId="0" xfId="0" applyNumberFormat="1"/>
    <xf numFmtId="0" fontId="0" fillId="0" borderId="0" xfId="0" applyAlignment="1">
      <alignment horizontal="center"/>
    </xf>
    <xf numFmtId="43" fontId="1" fillId="2" borderId="0" xfId="1" applyFont="1" applyFill="1"/>
    <xf numFmtId="43" fontId="0" fillId="0" borderId="0" xfId="1" applyFont="1"/>
    <xf numFmtId="0" fontId="1" fillId="2" borderId="0" xfId="0" applyFont="1" applyFill="1" applyAlignment="1">
      <alignment horizontal="center"/>
    </xf>
    <xf numFmtId="0" fontId="0" fillId="0" borderId="0" xfId="0" pivotButton="1"/>
    <xf numFmtId="0" fontId="0" fillId="0" borderId="0" xfId="0" applyAlignment="1">
      <alignment horizontal="lef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[Advanced_hospital_data_revenue_dashboard.xlsx]Sheet2!PivotTable1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Sheet2!$A$4:$A$7</c:f>
              <c:strCache>
                <c:ptCount val="3"/>
                <c:pt idx="0">
                  <c:v>CT</c:v>
                </c:pt>
                <c:pt idx="1">
                  <c:v>MRI</c:v>
                </c:pt>
                <c:pt idx="2">
                  <c:v>X-RAY</c:v>
                </c:pt>
              </c:strCache>
            </c:strRef>
          </c:cat>
          <c:val>
            <c:numRef>
              <c:f>Sheet2!$B$4:$B$7</c:f>
              <c:numCache>
                <c:formatCode>General</c:formatCode>
                <c:ptCount val="3"/>
                <c:pt idx="0">
                  <c:v>75193</c:v>
                </c:pt>
                <c:pt idx="1">
                  <c:v>110722</c:v>
                </c:pt>
                <c:pt idx="2">
                  <c:v>87330</c:v>
                </c:pt>
              </c:numCache>
            </c:numRef>
          </c:val>
          <c:extLst>
            <c:ext xmlns:c16="http://schemas.microsoft.com/office/drawing/2014/chart" uri="{C3380CC4-5D6E-409C-BE32-E72D297353CC}">
              <c16:uniqueId val="{00000000-17CF-4D10-AA97-28A266FE2237}"/>
            </c:ext>
          </c:extLst>
        </c:ser>
        <c:dLbls>
          <c:showLegendKey val="0"/>
          <c:showVal val="0"/>
          <c:showCatName val="0"/>
          <c:showSerName val="0"/>
          <c:showPercent val="0"/>
          <c:showBubbleSize val="0"/>
        </c:dLbls>
        <c:gapWidth val="219"/>
        <c:overlap val="-27"/>
        <c:axId val="751204111"/>
        <c:axId val="751202671"/>
      </c:barChart>
      <c:catAx>
        <c:axId val="751204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202671"/>
        <c:crosses val="autoZero"/>
        <c:auto val="1"/>
        <c:lblAlgn val="ctr"/>
        <c:lblOffset val="100"/>
        <c:noMultiLvlLbl val="0"/>
      </c:catAx>
      <c:valAx>
        <c:axId val="751202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204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[Advanced_hospital_data_revenue_dashboard.xlsx]Sheet3!PivotTable2</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Sheet3!$A$4:$A$7</c:f>
              <c:strCache>
                <c:ptCount val="3"/>
                <c:pt idx="0">
                  <c:v>Jan</c:v>
                </c:pt>
                <c:pt idx="1">
                  <c:v>Feb</c:v>
                </c:pt>
                <c:pt idx="2">
                  <c:v>Mar</c:v>
                </c:pt>
              </c:strCache>
            </c:strRef>
          </c:cat>
          <c:val>
            <c:numRef>
              <c:f>Sheet3!$B$4:$B$7</c:f>
              <c:numCache>
                <c:formatCode>General</c:formatCode>
                <c:ptCount val="3"/>
                <c:pt idx="0">
                  <c:v>76890</c:v>
                </c:pt>
                <c:pt idx="1">
                  <c:v>107332</c:v>
                </c:pt>
                <c:pt idx="2">
                  <c:v>89023</c:v>
                </c:pt>
              </c:numCache>
            </c:numRef>
          </c:val>
          <c:extLst>
            <c:ext xmlns:c16="http://schemas.microsoft.com/office/drawing/2014/chart" uri="{C3380CC4-5D6E-409C-BE32-E72D297353CC}">
              <c16:uniqueId val="{00000000-29FE-4941-B7E6-D3974BD1CAD7}"/>
            </c:ext>
          </c:extLst>
        </c:ser>
        <c:dLbls>
          <c:dLblPos val="outEnd"/>
          <c:showLegendKey val="0"/>
          <c:showVal val="1"/>
          <c:showCatName val="0"/>
          <c:showSerName val="0"/>
          <c:showPercent val="0"/>
          <c:showBubbleSize val="0"/>
        </c:dLbls>
        <c:gapWidth val="444"/>
        <c:overlap val="-90"/>
        <c:axId val="275787247"/>
        <c:axId val="1178412255"/>
      </c:barChart>
      <c:catAx>
        <c:axId val="2757872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178412255"/>
        <c:crosses val="autoZero"/>
        <c:auto val="1"/>
        <c:lblAlgn val="ctr"/>
        <c:lblOffset val="100"/>
        <c:noMultiLvlLbl val="0"/>
      </c:catAx>
      <c:valAx>
        <c:axId val="1178412255"/>
        <c:scaling>
          <c:orientation val="minMax"/>
        </c:scaling>
        <c:delete val="1"/>
        <c:axPos val="l"/>
        <c:numFmt formatCode="General" sourceLinked="1"/>
        <c:majorTickMark val="none"/>
        <c:minorTickMark val="none"/>
        <c:tickLblPos val="nextTo"/>
        <c:crossAx val="27578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50800</xdr:rowOff>
    </xdr:from>
    <xdr:to>
      <xdr:col>10</xdr:col>
      <xdr:colOff>12700</xdr:colOff>
      <xdr:row>18</xdr:row>
      <xdr:rowOff>79375</xdr:rowOff>
    </xdr:to>
    <xdr:graphicFrame macro="">
      <xdr:nvGraphicFramePr>
        <xdr:cNvPr id="2" name="Chart 1">
          <a:extLst>
            <a:ext uri="{FF2B5EF4-FFF2-40B4-BE49-F238E27FC236}">
              <a16:creationId xmlns:a16="http://schemas.microsoft.com/office/drawing/2014/main" id="{C97C9AD6-6C0A-1819-91F2-48CA261D28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565150</xdr:colOff>
      <xdr:row>2</xdr:row>
      <xdr:rowOff>31750</xdr:rowOff>
    </xdr:from>
    <xdr:to>
      <xdr:col>12</xdr:col>
      <xdr:colOff>565150</xdr:colOff>
      <xdr:row>15</xdr:row>
      <xdr:rowOff>161925</xdr:rowOff>
    </xdr:to>
    <mc:AlternateContent xmlns:mc="http://schemas.openxmlformats.org/markup-compatibility/2006" xmlns:a14="http://schemas.microsoft.com/office/drawing/2010/main">
      <mc:Choice Requires="a14">
        <xdr:graphicFrame macro="">
          <xdr:nvGraphicFramePr>
            <xdr:cNvPr id="3" name="Date">
              <a:extLst>
                <a:ext uri="{FF2B5EF4-FFF2-40B4-BE49-F238E27FC236}">
                  <a16:creationId xmlns:a16="http://schemas.microsoft.com/office/drawing/2014/main" id="{EC4B305B-1784-C031-6E01-680C11768238}"/>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6699250" y="400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596900</xdr:colOff>
      <xdr:row>2</xdr:row>
      <xdr:rowOff>25400</xdr:rowOff>
    </xdr:from>
    <xdr:to>
      <xdr:col>15</xdr:col>
      <xdr:colOff>596900</xdr:colOff>
      <xdr:row>15</xdr:row>
      <xdr:rowOff>155575</xdr:rowOff>
    </xdr:to>
    <mc:AlternateContent xmlns:mc="http://schemas.openxmlformats.org/markup-compatibility/2006" xmlns:a14="http://schemas.microsoft.com/office/drawing/2010/main">
      <mc:Choice Requires="a14">
        <xdr:graphicFrame macro="">
          <xdr:nvGraphicFramePr>
            <xdr:cNvPr id="4" name="Doctor_Name">
              <a:extLst>
                <a:ext uri="{FF2B5EF4-FFF2-40B4-BE49-F238E27FC236}">
                  <a16:creationId xmlns:a16="http://schemas.microsoft.com/office/drawing/2014/main" id="{8F17DD6E-657A-7BD2-B6C9-A1F3B59DF43C}"/>
                </a:ext>
              </a:extLst>
            </xdr:cNvPr>
            <xdr:cNvGraphicFramePr/>
          </xdr:nvGraphicFramePr>
          <xdr:xfrm>
            <a:off x="0" y="0"/>
            <a:ext cx="0" cy="0"/>
          </xdr:xfrm>
          <a:graphic>
            <a:graphicData uri="http://schemas.microsoft.com/office/drawing/2010/slicer">
              <sle:slicer xmlns:sle="http://schemas.microsoft.com/office/drawing/2010/slicer" name="Doctor_Name"/>
            </a:graphicData>
          </a:graphic>
        </xdr:graphicFrame>
      </mc:Choice>
      <mc:Fallback xmlns="">
        <xdr:sp macro="" textlink="">
          <xdr:nvSpPr>
            <xdr:cNvPr id="0" name=""/>
            <xdr:cNvSpPr>
              <a:spLocks noTextEdit="1"/>
            </xdr:cNvSpPr>
          </xdr:nvSpPr>
          <xdr:spPr>
            <a:xfrm>
              <a:off x="8559800" y="393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38100</xdr:colOff>
      <xdr:row>2</xdr:row>
      <xdr:rowOff>12700</xdr:rowOff>
    </xdr:from>
    <xdr:to>
      <xdr:col>18</xdr:col>
      <xdr:colOff>292100</xdr:colOff>
      <xdr:row>15</xdr:row>
      <xdr:rowOff>142875</xdr:rowOff>
    </xdr:to>
    <mc:AlternateContent xmlns:mc="http://schemas.openxmlformats.org/markup-compatibility/2006" xmlns:a14="http://schemas.microsoft.com/office/drawing/2010/main">
      <mc:Choice Requires="a14">
        <xdr:graphicFrame macro="">
          <xdr:nvGraphicFramePr>
            <xdr:cNvPr id="5" name="Payment_Mode(Cash,UPI,Card)">
              <a:extLst>
                <a:ext uri="{FF2B5EF4-FFF2-40B4-BE49-F238E27FC236}">
                  <a16:creationId xmlns:a16="http://schemas.microsoft.com/office/drawing/2014/main" id="{D0049F6D-E04F-7879-93E6-4FEB7621A653}"/>
                </a:ext>
              </a:extLst>
            </xdr:cNvPr>
            <xdr:cNvGraphicFramePr/>
          </xdr:nvGraphicFramePr>
          <xdr:xfrm>
            <a:off x="0" y="0"/>
            <a:ext cx="0" cy="0"/>
          </xdr:xfrm>
          <a:graphic>
            <a:graphicData uri="http://schemas.microsoft.com/office/drawing/2010/slicer">
              <sle:slicer xmlns:sle="http://schemas.microsoft.com/office/drawing/2010/slicer" name="Payment_Mode(Cash,UPI,Card)"/>
            </a:graphicData>
          </a:graphic>
        </xdr:graphicFrame>
      </mc:Choice>
      <mc:Fallback xmlns="">
        <xdr:sp macro="" textlink="">
          <xdr:nvSpPr>
            <xdr:cNvPr id="0" name=""/>
            <xdr:cNvSpPr>
              <a:spLocks noTextEdit="1"/>
            </xdr:cNvSpPr>
          </xdr:nvSpPr>
          <xdr:spPr>
            <a:xfrm>
              <a:off x="10439400" y="381000"/>
              <a:ext cx="14732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603250</xdr:colOff>
      <xdr:row>1</xdr:row>
      <xdr:rowOff>31750</xdr:rowOff>
    </xdr:from>
    <xdr:to>
      <xdr:col>12</xdr:col>
      <xdr:colOff>215900</xdr:colOff>
      <xdr:row>18</xdr:row>
      <xdr:rowOff>76200</xdr:rowOff>
    </xdr:to>
    <xdr:graphicFrame macro="">
      <xdr:nvGraphicFramePr>
        <xdr:cNvPr id="4" name="Chart 3">
          <a:extLst>
            <a:ext uri="{FF2B5EF4-FFF2-40B4-BE49-F238E27FC236}">
              <a16:creationId xmlns:a16="http://schemas.microsoft.com/office/drawing/2014/main" id="{422A5E43-AEC3-70E9-01AC-A8AC70930D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ti sahu" refreshedDate="46119.566153703701" createdVersion="8" refreshedVersion="8" minRefreshableVersion="3" recordCount="50" xr:uid="{3305586B-699D-419C-9C15-1A07C106AB8C}">
  <cacheSource type="worksheet">
    <worksheetSource ref="A1:L51" sheet="Sheet1"/>
  </cacheSource>
  <cacheFields count="14">
    <cacheField name="Date" numFmtId="14">
      <sharedItems containsSemiMixedTypes="0" containsNonDate="0" containsDate="1" containsString="0" minDate="2026-01-02T00:00:00" maxDate="2026-03-31T00:00:00" count="41">
        <d v="2026-01-06T00:00:00"/>
        <d v="2026-02-24T00:00:00"/>
        <d v="2026-02-04T00:00:00"/>
        <d v="2026-01-05T00:00:00"/>
        <d v="2026-02-16T00:00:00"/>
        <d v="2026-02-17T00:00:00"/>
        <d v="2026-03-03T00:00:00"/>
        <d v="2026-03-29T00:00:00"/>
        <d v="2026-01-27T00:00:00"/>
        <d v="2026-01-12T00:00:00"/>
        <d v="2026-02-05T00:00:00"/>
        <d v="2026-01-26T00:00:00"/>
        <d v="2026-03-10T00:00:00"/>
        <d v="2026-02-15T00:00:00"/>
        <d v="2026-02-20T00:00:00"/>
        <d v="2026-03-23T00:00:00"/>
        <d v="2026-01-20T00:00:00"/>
        <d v="2026-02-07T00:00:00"/>
        <d v="2026-03-15T00:00:00"/>
        <d v="2026-01-09T00:00:00"/>
        <d v="2026-01-22T00:00:00"/>
        <d v="2026-03-30T00:00:00"/>
        <d v="2026-03-01T00:00:00"/>
        <d v="2026-01-18T00:00:00"/>
        <d v="2026-03-08T00:00:00"/>
        <d v="2026-02-22T00:00:00"/>
        <d v="2026-03-25T00:00:00"/>
        <d v="2026-01-02T00:00:00"/>
        <d v="2026-03-11T00:00:00"/>
        <d v="2026-03-19T00:00:00"/>
        <d v="2026-02-14T00:00:00"/>
        <d v="2026-02-11T00:00:00"/>
        <d v="2026-01-23T00:00:00"/>
        <d v="2026-01-15T00:00:00"/>
        <d v="2026-02-19T00:00:00"/>
        <d v="2026-01-30T00:00:00"/>
        <d v="2026-01-19T00:00:00"/>
        <d v="2026-01-21T00:00:00"/>
        <d v="2026-01-03T00:00:00"/>
        <d v="2026-01-28T00:00:00"/>
        <d v="2026-02-10T00:00:00"/>
      </sharedItems>
      <fieldGroup par="13"/>
    </cacheField>
    <cacheField name="Patient_ID" numFmtId="0">
      <sharedItems/>
    </cacheField>
    <cacheField name="Patient_Name" numFmtId="0">
      <sharedItems/>
    </cacheField>
    <cacheField name="Gender" numFmtId="0">
      <sharedItems/>
    </cacheField>
    <cacheField name="Age" numFmtId="0">
      <sharedItems containsSemiMixedTypes="0" containsString="0" containsNumber="1" containsInteger="1" minValue="20" maxValue="70"/>
    </cacheField>
    <cacheField name="Department" numFmtId="0">
      <sharedItems count="3">
        <s v="CT"/>
        <s v="MRI"/>
        <s v="X-RAY"/>
      </sharedItems>
    </cacheField>
    <cacheField name="Test_Type" numFmtId="43">
      <sharedItems/>
    </cacheField>
    <cacheField name="Revenue" numFmtId="0">
      <sharedItems containsSemiMixedTypes="0" containsString="0" containsNumber="1" containsInteger="1" minValue="1100" maxValue="9107"/>
    </cacheField>
    <cacheField name="Doctor_Name" numFmtId="0">
      <sharedItems count="10">
        <s v="Dr . Singh"/>
        <s v="Dr . Khan"/>
        <s v="Dr . Sharma"/>
        <s v="Dr . Verma"/>
        <s v="Dr . Gupta"/>
        <s v="Dr.Gupta"/>
        <s v="Dr.Singh"/>
        <s v="Dr.Sharma"/>
        <s v="Dr.Khan"/>
        <s v="Dr.Verma"/>
      </sharedItems>
    </cacheField>
    <cacheField name="Payment_Mode(Cash,UPI,Card)" numFmtId="0">
      <sharedItems count="3">
        <s v="Cash"/>
        <s v="UPI"/>
        <s v="Card"/>
      </sharedItems>
    </cacheField>
    <cacheField name="City" numFmtId="0">
      <sharedItems/>
    </cacheField>
    <cacheField name="Status(completed/pending)" numFmtId="0">
      <sharedItems/>
    </cacheField>
    <cacheField name="Days (Date)" numFmtId="0" databaseField="0">
      <fieldGroup base="0">
        <rangePr groupBy="days" startDate="2026-01-02T00:00:00" endDate="2026-03-31T00:00:00"/>
        <groupItems count="368">
          <s v="&lt;02-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03-2026"/>
        </groupItems>
      </fieldGroup>
    </cacheField>
    <cacheField name="Months (Date)" numFmtId="0" databaseField="0">
      <fieldGroup base="0">
        <rangePr groupBy="months" startDate="2026-01-02T00:00:00" endDate="2026-03-31T00:00:00"/>
        <groupItems count="14">
          <s v="&lt;02-01-2026"/>
          <s v="Jan"/>
          <s v="Feb"/>
          <s v="Mar"/>
          <s v="Apr"/>
          <s v="May"/>
          <s v="Jun"/>
          <s v="Jul"/>
          <s v="Aug"/>
          <s v="Sep"/>
          <s v="Oct"/>
          <s v="Nov"/>
          <s v="Dec"/>
          <s v="&gt;31-03-2026"/>
        </groupItems>
      </fieldGroup>
    </cacheField>
  </cacheFields>
  <extLst>
    <ext xmlns:x14="http://schemas.microsoft.com/office/spreadsheetml/2009/9/main" uri="{725AE2AE-9491-48be-B2B4-4EB974FC3084}">
      <x14:pivotCacheDefinition pivotCacheId="214095035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ti sahu" refreshedDate="46119.586762500003" createdVersion="8" refreshedVersion="8" minRefreshableVersion="3" recordCount="4" xr:uid="{6C1C5DFB-079D-47CF-B524-8212752BF001}">
  <cacheSource type="worksheet">
    <worksheetSource ref="A3:B7" sheet="Sheet3"/>
  </cacheSource>
  <cacheFields count="2">
    <cacheField name="Row Labels" numFmtId="0">
      <sharedItems count="4">
        <s v="Jan"/>
        <s v="Feb"/>
        <s v="Mar"/>
        <s v="Grand Total"/>
      </sharedItems>
    </cacheField>
    <cacheField name="Sum of Revenue" numFmtId="0">
      <sharedItems containsSemiMixedTypes="0" containsString="0" containsNumber="1" containsInteger="1" minValue="76890" maxValue="27324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s v="P001"/>
    <s v="Karan"/>
    <s v="MALE"/>
    <n v="44"/>
    <x v="0"/>
    <s v="CHEST CT"/>
    <n v="3959"/>
    <x v="0"/>
    <x v="0"/>
    <s v="NAGPUR"/>
    <s v="Completed"/>
  </r>
  <r>
    <x v="1"/>
    <s v="P002"/>
    <s v="seeta"/>
    <s v="FEMALE"/>
    <n v="40"/>
    <x v="0"/>
    <s v="SPINE MRI"/>
    <n v="7392"/>
    <x v="1"/>
    <x v="1"/>
    <s v="NAGPUR"/>
    <s v="Completed"/>
  </r>
  <r>
    <x v="2"/>
    <s v="P003"/>
    <s v="Ram"/>
    <s v="MALE"/>
    <n v="69"/>
    <x v="0"/>
    <s v="CHEST CT"/>
    <n v="3848"/>
    <x v="1"/>
    <x v="0"/>
    <s v="LUCKNOW"/>
    <s v="Completed"/>
  </r>
  <r>
    <x v="3"/>
    <s v="P004"/>
    <s v="kasish"/>
    <s v="FEMALE"/>
    <n v="36"/>
    <x v="1"/>
    <s v="X-RAY CHEST"/>
    <n v="1100"/>
    <x v="2"/>
    <x v="1"/>
    <s v="INDORE"/>
    <s v="Completed"/>
  </r>
  <r>
    <x v="4"/>
    <s v="P005"/>
    <s v="Shreya"/>
    <s v="FEMALE"/>
    <n v="68"/>
    <x v="1"/>
    <s v="X-RAY HAND"/>
    <n v="7893"/>
    <x v="1"/>
    <x v="0"/>
    <s v="JAIPUR"/>
    <s v="Completed"/>
  </r>
  <r>
    <x v="5"/>
    <s v="P006"/>
    <s v="Shayam"/>
    <s v="MALE"/>
    <n v="20"/>
    <x v="0"/>
    <s v="BRAIN MRI"/>
    <n v="5203"/>
    <x v="3"/>
    <x v="0"/>
    <s v="JAIPUR"/>
    <s v="Pending"/>
  </r>
  <r>
    <x v="1"/>
    <s v="P007"/>
    <s v="seeta"/>
    <s v="FEMALE"/>
    <n v="68"/>
    <x v="2"/>
    <s v="BRAIN MRI"/>
    <n v="4115"/>
    <x v="4"/>
    <x v="1"/>
    <s v="JAIPUR"/>
    <s v="Completed"/>
  </r>
  <r>
    <x v="6"/>
    <s v="P008"/>
    <s v="Shayam"/>
    <s v="MALE"/>
    <n v="70"/>
    <x v="0"/>
    <s v="BRAIN MRI"/>
    <n v="7103"/>
    <x v="2"/>
    <x v="0"/>
    <s v="INDORE"/>
    <s v="Completed"/>
  </r>
  <r>
    <x v="7"/>
    <s v="P009"/>
    <s v="Vansh"/>
    <s v="MALE"/>
    <n v="51"/>
    <x v="2"/>
    <s v="CHEST CT"/>
    <n v="8063"/>
    <x v="3"/>
    <x v="2"/>
    <s v="PUNE"/>
    <s v="Completed"/>
  </r>
  <r>
    <x v="8"/>
    <s v="P010"/>
    <s v="Ram"/>
    <s v="MALE"/>
    <n v="61"/>
    <x v="1"/>
    <s v="CHEST CT"/>
    <n v="5855"/>
    <x v="1"/>
    <x v="2"/>
    <s v="JAIPUR"/>
    <s v="Completed"/>
  </r>
  <r>
    <x v="9"/>
    <s v="P011"/>
    <s v="Vansh"/>
    <s v="MALE"/>
    <n v="41"/>
    <x v="1"/>
    <s v="CHEST CT"/>
    <n v="1792"/>
    <x v="1"/>
    <x v="1"/>
    <s v="JAIPUR"/>
    <s v="Completed"/>
  </r>
  <r>
    <x v="10"/>
    <s v="P012"/>
    <s v="Vansh"/>
    <s v="MALE"/>
    <n v="69"/>
    <x v="2"/>
    <s v="CHEST CT"/>
    <n v="7719"/>
    <x v="2"/>
    <x v="1"/>
    <s v="NAGPUR"/>
    <s v="Pending"/>
  </r>
  <r>
    <x v="11"/>
    <s v="P013"/>
    <s v="Radha"/>
    <s v="FEMALE"/>
    <n v="68"/>
    <x v="2"/>
    <s v="ABDOMEN CT"/>
    <n v="2058"/>
    <x v="4"/>
    <x v="1"/>
    <s v="PUNE"/>
    <s v="Completed"/>
  </r>
  <r>
    <x v="12"/>
    <s v="P014"/>
    <s v="Anuj"/>
    <s v="MALE"/>
    <n v="37"/>
    <x v="1"/>
    <s v="BRAIN MRI"/>
    <n v="8513"/>
    <x v="5"/>
    <x v="0"/>
    <s v="NAGPUR"/>
    <s v="Pending"/>
  </r>
  <r>
    <x v="13"/>
    <s v="P015"/>
    <s v="Vansh"/>
    <s v="MALE"/>
    <n v="35"/>
    <x v="2"/>
    <s v="X-RAY CHEST"/>
    <n v="9107"/>
    <x v="6"/>
    <x v="0"/>
    <s v="LUCKNOW"/>
    <s v="Pending"/>
  </r>
  <r>
    <x v="14"/>
    <s v="P016"/>
    <s v="Karan"/>
    <s v="MALE"/>
    <n v="36"/>
    <x v="2"/>
    <s v="CHEST CT"/>
    <n v="4701"/>
    <x v="7"/>
    <x v="1"/>
    <s v="NAGPUR"/>
    <s v="Completed"/>
  </r>
  <r>
    <x v="15"/>
    <s v="P017"/>
    <s v="Anuj"/>
    <s v="MALE"/>
    <n v="34"/>
    <x v="1"/>
    <s v="CHEST CT"/>
    <n v="8473"/>
    <x v="8"/>
    <x v="2"/>
    <s v="LUCKNOW"/>
    <s v="Completed"/>
  </r>
  <r>
    <x v="15"/>
    <s v="P018"/>
    <s v="seeta"/>
    <s v="FEMALE"/>
    <n v="58"/>
    <x v="2"/>
    <s v="CHEST CT"/>
    <n v="7627"/>
    <x v="5"/>
    <x v="1"/>
    <s v="JAIPUR"/>
    <s v="Completed"/>
  </r>
  <r>
    <x v="16"/>
    <s v="P019"/>
    <s v="Karan"/>
    <s v="MALE"/>
    <n v="47"/>
    <x v="1"/>
    <s v="CHEST CT"/>
    <n v="4802"/>
    <x v="7"/>
    <x v="2"/>
    <s v="JAIPUR"/>
    <s v="Completed"/>
  </r>
  <r>
    <x v="17"/>
    <s v="P020"/>
    <s v="Anushka"/>
    <s v="FEMALE"/>
    <n v="70"/>
    <x v="2"/>
    <s v="CHEST CT"/>
    <n v="7078"/>
    <x v="9"/>
    <x v="0"/>
    <s v="JAIPUR"/>
    <s v="Completed"/>
  </r>
  <r>
    <x v="18"/>
    <s v="P021"/>
    <s v="Karan"/>
    <s v="MALE"/>
    <n v="23"/>
    <x v="1"/>
    <s v="X-RAY HAND"/>
    <n v="6250"/>
    <x v="6"/>
    <x v="2"/>
    <s v="JAIPUR"/>
    <s v="Pending"/>
  </r>
  <r>
    <x v="19"/>
    <s v="P022"/>
    <s v="Radha"/>
    <s v="FEMALE"/>
    <n v="69"/>
    <x v="1"/>
    <s v="SPINE MRI"/>
    <n v="7075"/>
    <x v="8"/>
    <x v="0"/>
    <s v="NAGPUR"/>
    <s v="Completed"/>
  </r>
  <r>
    <x v="20"/>
    <s v="P023"/>
    <s v="Mohit"/>
    <s v="MALE"/>
    <n v="28"/>
    <x v="2"/>
    <s v="BRAIN MRI"/>
    <n v="7868"/>
    <x v="4"/>
    <x v="0"/>
    <s v="PUNE"/>
    <s v="Pending"/>
  </r>
  <r>
    <x v="21"/>
    <s v="P024"/>
    <s v="seeta"/>
    <s v="FEMALE"/>
    <n v="69"/>
    <x v="1"/>
    <s v="X-RAY CHEST"/>
    <n v="2995"/>
    <x v="0"/>
    <x v="2"/>
    <s v="PUNE"/>
    <s v="Completed"/>
  </r>
  <r>
    <x v="22"/>
    <s v="P025"/>
    <s v="Anushka"/>
    <s v="FEMALE"/>
    <n v="23"/>
    <x v="2"/>
    <s v="SPINE MRI"/>
    <n v="3384"/>
    <x v="4"/>
    <x v="2"/>
    <s v="NAGPUR"/>
    <s v="Pending"/>
  </r>
  <r>
    <x v="23"/>
    <s v="P026"/>
    <s v="Vansh"/>
    <s v="MALE"/>
    <n v="51"/>
    <x v="0"/>
    <s v="ABDOMEN CT"/>
    <n v="1248"/>
    <x v="2"/>
    <x v="2"/>
    <s v="PUNE"/>
    <s v="Completed"/>
  </r>
  <r>
    <x v="24"/>
    <s v="P027"/>
    <s v="Karan"/>
    <s v="MALE"/>
    <n v="25"/>
    <x v="0"/>
    <s v="SPINE MRI"/>
    <n v="3028"/>
    <x v="1"/>
    <x v="1"/>
    <s v="PUNE"/>
    <s v="Pending"/>
  </r>
  <r>
    <x v="25"/>
    <s v="P028"/>
    <s v="Anushka"/>
    <s v="FEMALE"/>
    <n v="34"/>
    <x v="2"/>
    <s v="ABDOMEN CT"/>
    <n v="1362"/>
    <x v="4"/>
    <x v="2"/>
    <s v="PUNE"/>
    <s v="Pending"/>
  </r>
  <r>
    <x v="26"/>
    <s v="P029"/>
    <s v="Vansh"/>
    <s v="MALE"/>
    <n v="61"/>
    <x v="0"/>
    <s v="ABDOMEN CT"/>
    <n v="6584"/>
    <x v="0"/>
    <x v="0"/>
    <s v="INDORE"/>
    <s v="Pending"/>
  </r>
  <r>
    <x v="5"/>
    <s v="P030"/>
    <s v="kajal"/>
    <s v="FEMALE"/>
    <n v="62"/>
    <x v="1"/>
    <s v="X-RAY CHEST"/>
    <n v="4977"/>
    <x v="2"/>
    <x v="1"/>
    <s v="LUCKNOW"/>
    <s v="Completed"/>
  </r>
  <r>
    <x v="18"/>
    <s v="P031"/>
    <s v="Radha"/>
    <s v="FEMALE"/>
    <n v="37"/>
    <x v="0"/>
    <s v="ABDOMEN CT"/>
    <n v="8421"/>
    <x v="1"/>
    <x v="1"/>
    <s v="LUCKNOW"/>
    <s v="Completed"/>
  </r>
  <r>
    <x v="27"/>
    <s v="P032"/>
    <s v="Vansh"/>
    <s v="MALE"/>
    <n v="40"/>
    <x v="1"/>
    <s v="SPINE MRI"/>
    <n v="3742"/>
    <x v="2"/>
    <x v="2"/>
    <s v="NAGPUR"/>
    <s v="Completed"/>
  </r>
  <r>
    <x v="28"/>
    <s v="P033"/>
    <s v="Karan"/>
    <s v="MALE"/>
    <n v="70"/>
    <x v="1"/>
    <s v="X-RAY CHEST"/>
    <n v="6547"/>
    <x v="0"/>
    <x v="2"/>
    <s v="PUNE"/>
    <s v="Completed"/>
  </r>
  <r>
    <x v="29"/>
    <s v="P034"/>
    <s v="Shreya"/>
    <s v="FEMALE"/>
    <n v="69"/>
    <x v="1"/>
    <s v="BRAIN MRI"/>
    <n v="8439"/>
    <x v="0"/>
    <x v="1"/>
    <s v="NAGPUR"/>
    <s v="Pending"/>
  </r>
  <r>
    <x v="30"/>
    <s v="P035"/>
    <s v="Karan"/>
    <s v="MALE"/>
    <n v="59"/>
    <x v="2"/>
    <s v="X-RAY CHEST"/>
    <n v="4583"/>
    <x v="1"/>
    <x v="0"/>
    <s v="LUCKNOW"/>
    <s v="Completed"/>
  </r>
  <r>
    <x v="31"/>
    <s v="P036"/>
    <s v="seeta"/>
    <s v="FEMALE"/>
    <n v="42"/>
    <x v="0"/>
    <s v="X-RAY HAND"/>
    <n v="1899"/>
    <x v="1"/>
    <x v="2"/>
    <s v="PUNE"/>
    <s v="Completed"/>
  </r>
  <r>
    <x v="32"/>
    <s v="P037"/>
    <s v="Radha"/>
    <s v="FEMALE"/>
    <n v="25"/>
    <x v="0"/>
    <s v="BRAIN MRI"/>
    <n v="2956"/>
    <x v="3"/>
    <x v="1"/>
    <s v="PUNE"/>
    <s v="Pending"/>
  </r>
  <r>
    <x v="33"/>
    <s v="P038"/>
    <s v="kasish"/>
    <s v="FEMALE"/>
    <n v="40"/>
    <x v="0"/>
    <s v="ABDOMEN CT"/>
    <n v="1347"/>
    <x v="4"/>
    <x v="1"/>
    <s v="NAGPUR"/>
    <s v="Pending"/>
  </r>
  <r>
    <x v="34"/>
    <s v="P039"/>
    <s v="Shayam"/>
    <s v="MALE"/>
    <n v="65"/>
    <x v="1"/>
    <s v="SPINE MRI"/>
    <n v="6201"/>
    <x v="3"/>
    <x v="0"/>
    <s v="NAGPUR"/>
    <s v="Completed"/>
  </r>
  <r>
    <x v="35"/>
    <s v="P040"/>
    <s v="kajal"/>
    <s v="FEMALE"/>
    <n v="22"/>
    <x v="1"/>
    <s v="BRAIN MRI"/>
    <n v="9071"/>
    <x v="0"/>
    <x v="2"/>
    <s v="PUNE"/>
    <s v="Completed"/>
  </r>
  <r>
    <x v="26"/>
    <s v="P041"/>
    <s v="Ram"/>
    <s v="MALE"/>
    <n v="26"/>
    <x v="0"/>
    <s v="X-RAY HAND"/>
    <n v="3596"/>
    <x v="1"/>
    <x v="2"/>
    <s v="LUCKNOW"/>
    <s v="Completed"/>
  </r>
  <r>
    <x v="36"/>
    <s v="P042"/>
    <s v="Vansh"/>
    <s v="MALE"/>
    <n v="44"/>
    <x v="1"/>
    <s v="ABDOMEN CT"/>
    <n v="8976"/>
    <x v="3"/>
    <x v="0"/>
    <s v="JAIPUR"/>
    <s v="Pending"/>
  </r>
  <r>
    <x v="37"/>
    <s v="P043"/>
    <s v="kajal"/>
    <s v="FEMALE"/>
    <n v="32"/>
    <x v="2"/>
    <s v="CHEST CT"/>
    <n v="4190"/>
    <x v="4"/>
    <x v="1"/>
    <s v="NAGPUR"/>
    <s v="Completed"/>
  </r>
  <r>
    <x v="14"/>
    <s v="P044"/>
    <s v="kasish"/>
    <s v="FEMALE"/>
    <n v="38"/>
    <x v="2"/>
    <s v="CHEST CT"/>
    <n v="8312"/>
    <x v="2"/>
    <x v="2"/>
    <s v="LUCKNOW"/>
    <s v="Completed"/>
  </r>
  <r>
    <x v="13"/>
    <s v="P045"/>
    <s v="Anuj"/>
    <s v="MALE"/>
    <n v="54"/>
    <x v="0"/>
    <s v="CHEST CT"/>
    <n v="3827"/>
    <x v="3"/>
    <x v="2"/>
    <s v="INDORE"/>
    <s v="Pending"/>
  </r>
  <r>
    <x v="2"/>
    <s v="P046"/>
    <s v="Mohit"/>
    <s v="MALE"/>
    <n v="47"/>
    <x v="2"/>
    <s v="SPINE MRI"/>
    <n v="7163"/>
    <x v="2"/>
    <x v="0"/>
    <s v="NAGPUR"/>
    <s v="Completed"/>
  </r>
  <r>
    <x v="38"/>
    <s v="P047"/>
    <s v="Shreya"/>
    <s v="FEMALE"/>
    <n v="29"/>
    <x v="0"/>
    <s v="ABDOMEN CT"/>
    <n v="2830"/>
    <x v="3"/>
    <x v="0"/>
    <s v="JAIPUR"/>
    <s v="Completed"/>
  </r>
  <r>
    <x v="39"/>
    <s v="P048"/>
    <s v="Radha"/>
    <s v="FEMALE"/>
    <n v="61"/>
    <x v="1"/>
    <s v="CHEST CT"/>
    <n v="8021"/>
    <x v="0"/>
    <x v="2"/>
    <s v="INDORE"/>
    <s v="Pending"/>
  </r>
  <r>
    <x v="14"/>
    <s v="P049"/>
    <s v="Anuj"/>
    <s v="MALE"/>
    <n v="64"/>
    <x v="0"/>
    <s v="BRAIN MRI"/>
    <n v="4994"/>
    <x v="2"/>
    <x v="0"/>
    <s v="INDORE"/>
    <s v="Pending"/>
  </r>
  <r>
    <x v="40"/>
    <s v="P050"/>
    <s v="seeta"/>
    <s v="FEMALE"/>
    <n v="45"/>
    <x v="0"/>
    <s v="SPINE MRI"/>
    <n v="6958"/>
    <x v="2"/>
    <x v="1"/>
    <s v="INDORE"/>
    <s v="Pending"/>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76890"/>
  </r>
  <r>
    <x v="1"/>
    <n v="107332"/>
  </r>
  <r>
    <x v="2"/>
    <n v="89023"/>
  </r>
  <r>
    <x v="3"/>
    <n v="2732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B114BF-0A9C-4669-B905-B6FB45E12A2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14">
    <pivotField numFmtId="14" showAll="0">
      <items count="42">
        <item x="27"/>
        <item x="38"/>
        <item x="3"/>
        <item x="0"/>
        <item x="19"/>
        <item x="9"/>
        <item x="33"/>
        <item x="23"/>
        <item x="36"/>
        <item x="16"/>
        <item x="37"/>
        <item x="20"/>
        <item x="32"/>
        <item x="11"/>
        <item x="8"/>
        <item x="39"/>
        <item x="35"/>
        <item x="2"/>
        <item x="10"/>
        <item x="17"/>
        <item x="40"/>
        <item x="31"/>
        <item x="30"/>
        <item x="13"/>
        <item x="4"/>
        <item x="5"/>
        <item x="34"/>
        <item x="14"/>
        <item x="25"/>
        <item x="1"/>
        <item x="22"/>
        <item x="6"/>
        <item x="24"/>
        <item x="12"/>
        <item x="28"/>
        <item x="18"/>
        <item x="29"/>
        <item x="15"/>
        <item x="26"/>
        <item x="7"/>
        <item x="21"/>
        <item t="default"/>
      </items>
    </pivotField>
    <pivotField showAll="0"/>
    <pivotField showAll="0"/>
    <pivotField showAll="0"/>
    <pivotField showAll="0"/>
    <pivotField axis="axisRow" showAll="0">
      <items count="4">
        <item x="0"/>
        <item x="1"/>
        <item x="2"/>
        <item t="default"/>
      </items>
    </pivotField>
    <pivotField showAll="0"/>
    <pivotField dataField="1" showAll="0"/>
    <pivotField showAll="0">
      <items count="11">
        <item x="4"/>
        <item x="1"/>
        <item x="2"/>
        <item x="0"/>
        <item x="3"/>
        <item x="5"/>
        <item x="8"/>
        <item x="7"/>
        <item x="6"/>
        <item x="9"/>
        <item t="default"/>
      </items>
    </pivotField>
    <pivotField showAll="0">
      <items count="4">
        <item x="2"/>
        <item x="0"/>
        <item x="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4">
    <i>
      <x/>
    </i>
    <i>
      <x v="1"/>
    </i>
    <i>
      <x v="2"/>
    </i>
    <i t="grand">
      <x/>
    </i>
  </rowItems>
  <colItems count="1">
    <i/>
  </colItems>
  <dataFields count="1">
    <dataField name="Sum of Revenue"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57086F-DAEC-4A19-A0C5-FE72D4CECC4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3:D8" firstHeaderRow="1" firstDataRow="1" firstDataCol="1"/>
  <pivotFields count="2">
    <pivotField axis="axisRow" showAll="0">
      <items count="5">
        <item x="0"/>
        <item x="1"/>
        <item x="2"/>
        <item x="3"/>
        <item t="default"/>
      </items>
    </pivotField>
    <pivotField dataField="1" showAll="0"/>
  </pivotFields>
  <rowFields count="1">
    <field x="0"/>
  </rowFields>
  <rowItems count="5">
    <i>
      <x/>
    </i>
    <i>
      <x v="1"/>
    </i>
    <i>
      <x v="2"/>
    </i>
    <i>
      <x v="3"/>
    </i>
    <i t="grand">
      <x/>
    </i>
  </rowItems>
  <colItems count="1">
    <i/>
  </colItems>
  <dataFields count="1">
    <dataField name="Sum of Sum of Revenue"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47635B-CE2E-406E-94D3-C37FFEC2C20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14">
    <pivotField axis="axisRow" numFmtId="14" showAll="0">
      <items count="42">
        <item x="27"/>
        <item x="38"/>
        <item x="3"/>
        <item x="0"/>
        <item x="19"/>
        <item x="9"/>
        <item x="33"/>
        <item x="23"/>
        <item x="36"/>
        <item x="16"/>
        <item x="37"/>
        <item x="20"/>
        <item x="32"/>
        <item x="11"/>
        <item x="8"/>
        <item x="39"/>
        <item x="35"/>
        <item x="2"/>
        <item x="10"/>
        <item x="17"/>
        <item x="40"/>
        <item x="31"/>
        <item x="30"/>
        <item x="13"/>
        <item x="4"/>
        <item x="5"/>
        <item x="34"/>
        <item x="14"/>
        <item x="25"/>
        <item x="1"/>
        <item x="22"/>
        <item x="6"/>
        <item x="24"/>
        <item x="12"/>
        <item x="28"/>
        <item x="18"/>
        <item x="29"/>
        <item x="15"/>
        <item x="26"/>
        <item x="7"/>
        <item x="21"/>
        <item t="default"/>
      </items>
    </pivotField>
    <pivotField showAll="0"/>
    <pivotField showAll="0"/>
    <pivotField showAll="0"/>
    <pivotField showAll="0"/>
    <pivotField showAll="0"/>
    <pivotField showAll="0"/>
    <pivotField dataField="1"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3"/>
    <field x="12"/>
    <field x="0"/>
  </rowFields>
  <rowItems count="4">
    <i>
      <x v="1"/>
    </i>
    <i>
      <x v="2"/>
    </i>
    <i>
      <x v="3"/>
    </i>
    <i t="grand">
      <x/>
    </i>
  </rowItems>
  <colItems count="1">
    <i/>
  </colItems>
  <dataFields count="1">
    <dataField name="Sum of Revenue"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69F55677-36A7-4311-B880-5307AD033B95}" sourceName="Date">
  <pivotTables>
    <pivotTable tabId="2" name="PivotTable1"/>
  </pivotTables>
  <data>
    <tabular pivotCacheId="2140950352">
      <items count="41">
        <i x="27" s="1"/>
        <i x="38" s="1"/>
        <i x="3" s="1"/>
        <i x="0" s="1"/>
        <i x="19" s="1"/>
        <i x="9" s="1"/>
        <i x="33" s="1"/>
        <i x="23" s="1"/>
        <i x="36" s="1"/>
        <i x="16" s="1"/>
        <i x="37" s="1"/>
        <i x="20" s="1"/>
        <i x="32" s="1"/>
        <i x="11" s="1"/>
        <i x="8" s="1"/>
        <i x="39" s="1"/>
        <i x="35" s="1"/>
        <i x="2" s="1"/>
        <i x="10" s="1"/>
        <i x="17" s="1"/>
        <i x="40" s="1"/>
        <i x="31" s="1"/>
        <i x="30" s="1"/>
        <i x="13" s="1"/>
        <i x="4" s="1"/>
        <i x="5" s="1"/>
        <i x="34" s="1"/>
        <i x="14" s="1"/>
        <i x="25" s="1"/>
        <i x="1" s="1"/>
        <i x="22" s="1"/>
        <i x="6" s="1"/>
        <i x="24" s="1"/>
        <i x="12" s="1"/>
        <i x="28" s="1"/>
        <i x="18" s="1"/>
        <i x="29" s="1"/>
        <i x="15" s="1"/>
        <i x="26" s="1"/>
        <i x="7" s="1"/>
        <i x="2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_Name" xr10:uid="{618BC073-E042-4432-833F-B10E083952C1}" sourceName="Doctor_Name">
  <pivotTables>
    <pivotTable tabId="2" name="PivotTable1"/>
  </pivotTables>
  <data>
    <tabular pivotCacheId="2140950352">
      <items count="10">
        <i x="4" s="1"/>
        <i x="1" s="1"/>
        <i x="2" s="1"/>
        <i x="0" s="1"/>
        <i x="3" s="1"/>
        <i x="5" s="1"/>
        <i x="8" s="1"/>
        <i x="7" s="1"/>
        <i x="6"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_Cash_UPI_Card" xr10:uid="{9611576D-FE90-4FC6-8643-7D821D48E5CF}" sourceName="Payment_Mode(Cash,UPI,Card)">
  <pivotTables>
    <pivotTable tabId="2" name="PivotTable1"/>
  </pivotTables>
  <data>
    <tabular pivotCacheId="2140950352">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53E9BCD6-CF0B-456C-9018-527FBE2CADA6}" cache="Slicer_Date" caption="Date" rowHeight="241300"/>
  <slicer name="Doctor_Name" xr10:uid="{D7A87101-B826-4B9E-973C-7F8801E21202}" cache="Slicer_Doctor_Name" caption="Doctor_Name" rowHeight="241300"/>
  <slicer name="Payment_Mode(Cash,UPI,Card)" xr10:uid="{B0490813-B438-4B3A-9151-E42D7549BAEC}" cache="Slicer_Payment_Mode_Cash_UPI_Card" caption="Payment_Mode(Cash,UPI,Card)"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C2F79-E169-4A21-BFBC-DA08BF9019ED}">
  <dimension ref="A3:B10"/>
  <sheetViews>
    <sheetView tabSelected="1" workbookViewId="0">
      <selection activeCell="K19" sqref="K19"/>
    </sheetView>
  </sheetViews>
  <sheetFormatPr defaultRowHeight="14.5" x14ac:dyDescent="0.35"/>
  <cols>
    <col min="1" max="1" width="12.36328125" bestFit="1" customWidth="1"/>
    <col min="2" max="2" width="14.36328125" bestFit="1" customWidth="1"/>
  </cols>
  <sheetData>
    <row r="3" spans="1:2" x14ac:dyDescent="0.35">
      <c r="A3" s="7" t="s">
        <v>60</v>
      </c>
      <c r="B3" t="s">
        <v>62</v>
      </c>
    </row>
    <row r="4" spans="1:2" x14ac:dyDescent="0.35">
      <c r="A4" s="8" t="s">
        <v>8</v>
      </c>
      <c r="B4">
        <v>75193</v>
      </c>
    </row>
    <row r="5" spans="1:2" x14ac:dyDescent="0.35">
      <c r="A5" s="8" t="s">
        <v>7</v>
      </c>
      <c r="B5">
        <v>110722</v>
      </c>
    </row>
    <row r="6" spans="1:2" x14ac:dyDescent="0.35">
      <c r="A6" s="8" t="s">
        <v>9</v>
      </c>
      <c r="B6">
        <v>87330</v>
      </c>
    </row>
    <row r="7" spans="1:2" x14ac:dyDescent="0.35">
      <c r="A7" s="8" t="s">
        <v>61</v>
      </c>
      <c r="B7">
        <v>273245</v>
      </c>
    </row>
    <row r="10" spans="1:2" x14ac:dyDescent="0.35">
      <c r="A10" s="8"/>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8BB79-8B7A-4048-B7BB-189DCD253468}">
  <dimension ref="A1:S55"/>
  <sheetViews>
    <sheetView workbookViewId="0">
      <selection activeCell="H2" sqref="H2"/>
    </sheetView>
  </sheetViews>
  <sheetFormatPr defaultRowHeight="14.5" x14ac:dyDescent="0.35"/>
  <cols>
    <col min="1" max="1" width="10.08984375" bestFit="1" customWidth="1"/>
    <col min="2" max="2" width="10.36328125" customWidth="1"/>
    <col min="3" max="3" width="14.6328125" customWidth="1"/>
    <col min="4" max="4" width="12.26953125" customWidth="1"/>
    <col min="5" max="5" width="12.08984375" customWidth="1"/>
    <col min="6" max="6" width="9.7265625" customWidth="1"/>
    <col min="7" max="7" width="13.36328125" customWidth="1"/>
    <col min="9" max="9" width="13.453125" customWidth="1"/>
    <col min="10" max="10" width="33.7265625" customWidth="1"/>
    <col min="11" max="11" width="10.6328125" customWidth="1"/>
    <col min="12" max="12" width="26.6328125" customWidth="1"/>
    <col min="13" max="13" width="11.36328125" customWidth="1"/>
    <col min="14" max="14" width="16" customWidth="1"/>
    <col min="15" max="15" width="13.1796875" customWidth="1"/>
  </cols>
  <sheetData>
    <row r="1" spans="1:19" ht="18.5" customHeight="1" x14ac:dyDescent="0.35">
      <c r="A1" s="1" t="s">
        <v>0</v>
      </c>
      <c r="B1" s="1" t="s">
        <v>1</v>
      </c>
      <c r="C1" s="1" t="s">
        <v>2</v>
      </c>
      <c r="D1" s="6" t="s">
        <v>38</v>
      </c>
      <c r="E1" s="6" t="s">
        <v>39</v>
      </c>
      <c r="F1" s="1" t="s">
        <v>3</v>
      </c>
      <c r="G1" s="4" t="s">
        <v>4</v>
      </c>
      <c r="H1" s="1" t="s">
        <v>5</v>
      </c>
      <c r="I1" s="1" t="s">
        <v>6</v>
      </c>
      <c r="J1" s="6" t="s">
        <v>59</v>
      </c>
      <c r="K1" s="6" t="s">
        <v>49</v>
      </c>
      <c r="L1" s="1" t="s">
        <v>50</v>
      </c>
      <c r="M1" s="1" t="s">
        <v>17</v>
      </c>
      <c r="N1" s="1" t="s">
        <v>42</v>
      </c>
      <c r="O1" s="1" t="s">
        <v>43</v>
      </c>
      <c r="P1" t="s">
        <v>7</v>
      </c>
      <c r="Q1" t="s">
        <v>10</v>
      </c>
      <c r="S1" t="s">
        <v>51</v>
      </c>
    </row>
    <row r="2" spans="1:19" x14ac:dyDescent="0.35">
      <c r="A2" s="2">
        <f ca="1">RANDBETWEEN(DATE(2026,1,1),DATE(2026,3,30))</f>
        <v>46076</v>
      </c>
      <c r="B2" s="3" t="str">
        <f>"P"&amp;TEXT(ROW(A1),"000")</f>
        <v>P001</v>
      </c>
      <c r="C2" s="3" t="str" cm="1">
        <f t="array" aca="1" ref="C2" ca="1">IF(TRIM(UPPER(D2))="MALE",INDEX($O$51:$O$56,RANDBETWEEN(1,COUNTIF($O$51:$O$56,"&lt;&gt;"))),INDEX($N$51:$N$56,RANDBETWEEN(1,COUNTIF($N$51:$N$56,"&lt;&gt;"))))</f>
        <v>Anuj</v>
      </c>
      <c r="D2" s="3" t="str">
        <f ca="1">IF( RANDBETWEEN(0,1)=0,"MALE","FEMALE")</f>
        <v>MALE</v>
      </c>
      <c r="E2" s="3">
        <f ca="1">RANDBETWEEN(18,70)</f>
        <v>18</v>
      </c>
      <c r="F2" s="3" t="s">
        <v>8</v>
      </c>
      <c r="G2" s="5" t="s">
        <v>36</v>
      </c>
      <c r="H2" s="3"/>
      <c r="I2" t="str" cm="1">
        <f t="array" aca="1" ref="I2" ca="1">INDEX($M$1:$M$5,RANDBETWEEN(1,5))</f>
        <v>Dr . Verma</v>
      </c>
      <c r="J2" s="3" t="str">
        <f ca="1">CHOOSE(RANDBETWEEN(1,3),"Cash","UPI","Card")</f>
        <v>UPI</v>
      </c>
      <c r="K2" t="str" cm="1">
        <f t="array" aca="1" ref="K2" ca="1">INDEX($S$51:$S$60,RANDBETWEEN(1,COUNTIF($S$51:$S$60,"&lt;&gt;")))</f>
        <v>INDORE</v>
      </c>
      <c r="L2" s="3" t="str">
        <f ca="1">CHOOSE(RANDBETWEEN(1,2),"Completed","Pending")</f>
        <v>Completed</v>
      </c>
      <c r="M2" t="s">
        <v>18</v>
      </c>
      <c r="N2" t="s">
        <v>48</v>
      </c>
      <c r="O2" t="s">
        <v>23</v>
      </c>
      <c r="P2" t="s">
        <v>8</v>
      </c>
      <c r="Q2" t="s">
        <v>11</v>
      </c>
      <c r="S2" t="s">
        <v>52</v>
      </c>
    </row>
    <row r="3" spans="1:19" x14ac:dyDescent="0.35">
      <c r="A3" s="2">
        <f t="shared" ref="A3:A51" ca="1" si="0">RANDBETWEEN(DATE(2026,1,1),DATE(2026,3,30))</f>
        <v>46109</v>
      </c>
      <c r="B3" s="3" t="str">
        <f t="shared" ref="B3:B51" si="1">"P"&amp;TEXT(ROW(A2),"000")</f>
        <v>P002</v>
      </c>
      <c r="C3" s="3" t="str" cm="1">
        <f t="array" aca="1" ref="C3" ca="1">IF(D3="MALE",INDEX(O3:O8,RANDBETWEEN(1,COUNTA(O3:O8))),INDEX(N3:N52,RANDBETWEEN(1,COUNTA(N3:N52))))</f>
        <v>Anushka</v>
      </c>
      <c r="D3" s="3" t="str">
        <f t="shared" ref="D3:D51" ca="1" si="2">IF( RANDBETWEEN(0,1)=0,"MALE","FEMALE")</f>
        <v>FEMALE</v>
      </c>
      <c r="E3" s="3">
        <f t="shared" ref="E3:E51" ca="1" si="3">RANDBETWEEN(18,70)</f>
        <v>51</v>
      </c>
      <c r="F3" s="3" t="s">
        <v>8</v>
      </c>
      <c r="G3" s="5" t="s">
        <v>35</v>
      </c>
      <c r="H3" s="3">
        <f t="shared" ref="H3:H51" ca="1" si="4">RANDBETWEEN(1000,10000)</f>
        <v>2507</v>
      </c>
      <c r="I3" t="str" cm="1">
        <f t="array" aca="1" ref="I3" ca="1">INDEX($M$1:$M$5,RANDBETWEEN(1,5))</f>
        <v>Dr . Sharma</v>
      </c>
      <c r="J3" s="3" t="str">
        <f t="shared" ref="J3:J51" ca="1" si="5">CHOOSE(RANDBETWEEN(1,3),"Cash","UPI","Card")</f>
        <v>UPI</v>
      </c>
      <c r="K3" t="str" cm="1">
        <f t="array" aca="1" ref="K3" ca="1">INDEX($S$51:$S$60,RANDBETWEEN(1,COUNTIF($S$51:$S$60,"&lt;&gt;")))</f>
        <v>INDORE</v>
      </c>
      <c r="L3" s="3" t="str">
        <f t="shared" ref="L3:L51" ca="1" si="6">CHOOSE(RANDBETWEEN(1,2),"Completed","Pending")</f>
        <v>Pending</v>
      </c>
      <c r="M3" t="s">
        <v>19</v>
      </c>
      <c r="N3" t="s">
        <v>40</v>
      </c>
      <c r="O3" t="s">
        <v>22</v>
      </c>
      <c r="P3" t="s">
        <v>9</v>
      </c>
      <c r="Q3" t="s">
        <v>12</v>
      </c>
      <c r="S3" t="s">
        <v>53</v>
      </c>
    </row>
    <row r="4" spans="1:19" x14ac:dyDescent="0.35">
      <c r="A4" s="2">
        <f t="shared" ca="1" si="0"/>
        <v>46060</v>
      </c>
      <c r="B4" s="3" t="str">
        <f t="shared" si="1"/>
        <v>P003</v>
      </c>
      <c r="C4" s="3" t="str" cm="1">
        <f t="array" aca="1" ref="C4" ca="1">IF(D4="MALE",INDEX(O4:O9,RANDBETWEEN(1,COUNTA(O4:O9))),INDEX(N4:N53,RANDBETWEEN(1,COUNTA(N4:N53))))</f>
        <v>Ram</v>
      </c>
      <c r="D4" s="3" t="str">
        <f t="shared" ca="1" si="2"/>
        <v>MALE</v>
      </c>
      <c r="E4" s="3">
        <f t="shared" ca="1" si="3"/>
        <v>43</v>
      </c>
      <c r="F4" s="3" t="s">
        <v>8</v>
      </c>
      <c r="G4" s="5" t="s">
        <v>36</v>
      </c>
      <c r="H4" s="3">
        <f t="shared" ca="1" si="4"/>
        <v>2976</v>
      </c>
      <c r="I4" t="str" cm="1">
        <f t="array" aca="1" ref="I4" ca="1">INDEX($M$1:$M$5,RANDBETWEEN(1,5))</f>
        <v>Dr . Khan</v>
      </c>
      <c r="J4" s="3" t="str">
        <f t="shared" ca="1" si="5"/>
        <v>UPI</v>
      </c>
      <c r="K4" t="str" cm="1">
        <f t="array" aca="1" ref="K4" ca="1">INDEX($S$51:$S$60,RANDBETWEEN(1,COUNTIF($S$51:$S$60,"&lt;&gt;")))</f>
        <v>JAIPUR</v>
      </c>
      <c r="L4" s="3" t="str">
        <f t="shared" ca="1" si="6"/>
        <v>Completed</v>
      </c>
      <c r="M4" t="s">
        <v>20</v>
      </c>
      <c r="N4" t="s">
        <v>41</v>
      </c>
      <c r="O4" t="s">
        <v>44</v>
      </c>
      <c r="Q4" t="s">
        <v>13</v>
      </c>
      <c r="S4" t="s">
        <v>54</v>
      </c>
    </row>
    <row r="5" spans="1:19" x14ac:dyDescent="0.35">
      <c r="A5" s="2">
        <f t="shared" ca="1" si="0"/>
        <v>46040</v>
      </c>
      <c r="B5" s="3" t="str">
        <f t="shared" si="1"/>
        <v>P004</v>
      </c>
      <c r="C5" s="3" t="str" cm="1">
        <f t="array" aca="1" ref="C5" ca="1">IF(D5="MALE",INDEX(O5:O10,RANDBETWEEN(1,COUNTA(O5:O10))),INDEX(N5:N54,RANDBETWEEN(1,COUNTA(N5:N54))))</f>
        <v>Vansh</v>
      </c>
      <c r="D5" s="3" t="str">
        <f t="shared" ca="1" si="2"/>
        <v>MALE</v>
      </c>
      <c r="E5" s="3">
        <f t="shared" ca="1" si="3"/>
        <v>64</v>
      </c>
      <c r="F5" s="3" t="s">
        <v>7</v>
      </c>
      <c r="G5" s="5" t="s">
        <v>16</v>
      </c>
      <c r="H5" s="3">
        <f t="shared" ca="1" si="4"/>
        <v>9211</v>
      </c>
      <c r="I5" t="str" cm="1">
        <f t="array" aca="1" ref="I5" ca="1">INDEX($M$1:$M$5,RANDBETWEEN(1,5))</f>
        <v>Dr . Khan</v>
      </c>
      <c r="J5" s="3" t="str">
        <f t="shared" ca="1" si="5"/>
        <v>Card</v>
      </c>
      <c r="K5" t="str" cm="1">
        <f t="array" aca="1" ref="K5" ca="1">INDEX($S$51:$S$60,RANDBETWEEN(1,COUNTIF($S$51:$S$60,"&lt;&gt;")))</f>
        <v>LUCKNOW</v>
      </c>
      <c r="L5" s="3" t="str">
        <f t="shared" ca="1" si="6"/>
        <v>Completed</v>
      </c>
      <c r="M5" t="s">
        <v>21</v>
      </c>
      <c r="N5" t="s">
        <v>26</v>
      </c>
      <c r="O5" t="s">
        <v>45</v>
      </c>
      <c r="Q5" t="s">
        <v>14</v>
      </c>
      <c r="S5" t="s">
        <v>55</v>
      </c>
    </row>
    <row r="6" spans="1:19" x14ac:dyDescent="0.35">
      <c r="A6" s="2">
        <f t="shared" ca="1" si="0"/>
        <v>46076</v>
      </c>
      <c r="B6" s="3" t="str">
        <f t="shared" si="1"/>
        <v>P005</v>
      </c>
      <c r="C6" s="3" t="str" cm="1">
        <f t="array" aca="1" ref="C6" ca="1">IF(D6="MALE",INDEX(O6:O11,RANDBETWEEN(1,COUNTA(O6:O11))),INDEX(N6:N55,RANDBETWEEN(1,COUNTA(N6:N55))))</f>
        <v>seeta</v>
      </c>
      <c r="D6" s="3" t="str">
        <f t="shared" ca="1" si="2"/>
        <v>FEMALE</v>
      </c>
      <c r="E6" s="3">
        <f t="shared" ca="1" si="3"/>
        <v>25</v>
      </c>
      <c r="F6" s="3" t="s">
        <v>7</v>
      </c>
      <c r="G6" s="5" t="s">
        <v>33</v>
      </c>
      <c r="H6" s="3">
        <f t="shared" ca="1" si="4"/>
        <v>6251</v>
      </c>
      <c r="I6" t="str" cm="1">
        <f t="array" aca="1" ref="I6" ca="1">INDEX($M$1:$M$5,RANDBETWEEN(1,5))</f>
        <v>Dr . Verma</v>
      </c>
      <c r="J6" s="3" t="str">
        <f t="shared" ca="1" si="5"/>
        <v>Card</v>
      </c>
      <c r="K6" t="str" cm="1">
        <f t="array" aca="1" ref="K6" ca="1">INDEX($S$51:$S$60,RANDBETWEEN(1,COUNTIF($S$51:$S$60,"&lt;&gt;")))</f>
        <v>INDORE</v>
      </c>
      <c r="L6" s="3" t="str">
        <f t="shared" ca="1" si="6"/>
        <v>Pending</v>
      </c>
      <c r="N6" t="s">
        <v>24</v>
      </c>
      <c r="O6" t="s">
        <v>46</v>
      </c>
      <c r="Q6" t="s">
        <v>15</v>
      </c>
      <c r="S6" t="s">
        <v>56</v>
      </c>
    </row>
    <row r="7" spans="1:19" x14ac:dyDescent="0.35">
      <c r="A7" s="2">
        <f t="shared" ca="1" si="0"/>
        <v>46074</v>
      </c>
      <c r="B7" s="3" t="str">
        <f t="shared" si="1"/>
        <v>P006</v>
      </c>
      <c r="C7" s="3" t="str" cm="1">
        <f t="array" aca="1" ref="C7" ca="1">IF(D7="MALE",INDEX(O7:O12,RANDBETWEEN(1,COUNTA(O7:O12))),INDEX(N7:N56,RANDBETWEEN(1,COUNTA(N7:N56))))</f>
        <v>Radha</v>
      </c>
      <c r="D7" s="3" t="str">
        <f t="shared" ca="1" si="2"/>
        <v>FEMALE</v>
      </c>
      <c r="E7" s="3">
        <f t="shared" ca="1" si="3"/>
        <v>33</v>
      </c>
      <c r="F7" s="3" t="s">
        <v>8</v>
      </c>
      <c r="G7" s="5" t="s">
        <v>37</v>
      </c>
      <c r="H7" s="3">
        <f t="shared" ca="1" si="4"/>
        <v>1171</v>
      </c>
      <c r="I7" t="str" cm="1">
        <f t="array" aca="1" ref="I7" ca="1">INDEX($M$1:$M$5,RANDBETWEEN(1,5))</f>
        <v>Dr . Sharma</v>
      </c>
      <c r="J7" s="3" t="str">
        <f t="shared" ca="1" si="5"/>
        <v>UPI</v>
      </c>
      <c r="K7" t="str" cm="1">
        <f t="array" aca="1" ref="K7" ca="1">INDEX($S$51:$S$60,RANDBETWEEN(1,COUNTIF($S$51:$S$60,"&lt;&gt;")))</f>
        <v>LUCKNOW</v>
      </c>
      <c r="L7" s="3" t="str">
        <f t="shared" ca="1" si="6"/>
        <v>Pending</v>
      </c>
      <c r="N7" t="s">
        <v>25</v>
      </c>
      <c r="O7" t="s">
        <v>47</v>
      </c>
      <c r="S7" t="s">
        <v>57</v>
      </c>
    </row>
    <row r="8" spans="1:19" x14ac:dyDescent="0.35">
      <c r="A8" s="2">
        <f t="shared" ca="1" si="0"/>
        <v>46076</v>
      </c>
      <c r="B8" s="3" t="str">
        <f t="shared" si="1"/>
        <v>P007</v>
      </c>
      <c r="C8" s="3" t="str" cm="1">
        <f t="array" aca="1" ref="C8" ca="1">IF(D8="MALE",INDEX(O8:O13,RANDBETWEEN(1,COUNTA(O8:O13))),INDEX(N8:N57,RANDBETWEEN(1,COUNTA(N8:N57))))</f>
        <v>kajal</v>
      </c>
      <c r="D8" s="3" t="str">
        <f t="shared" ca="1" si="2"/>
        <v>FEMALE</v>
      </c>
      <c r="E8" s="3">
        <f t="shared" ca="1" si="3"/>
        <v>23</v>
      </c>
      <c r="F8" s="3" t="s">
        <v>9</v>
      </c>
      <c r="G8" s="5" t="s">
        <v>37</v>
      </c>
      <c r="H8" s="3">
        <f t="shared" ca="1" si="4"/>
        <v>2940</v>
      </c>
      <c r="I8" t="str" cm="1">
        <f t="array" aca="1" ref="I8" ca="1">INDEX($M$1:$M$5,RANDBETWEEN(1,5))</f>
        <v>Dr . Sharma</v>
      </c>
      <c r="J8" s="3" t="str">
        <f t="shared" ca="1" si="5"/>
        <v>Card</v>
      </c>
      <c r="K8" t="str" cm="1">
        <f t="array" aca="1" ref="K8" ca="1">INDEX($S$51:$S$60,RANDBETWEEN(1,COUNTIF($S$51:$S$60,"&lt;&gt;")))</f>
        <v>NAGPUR</v>
      </c>
      <c r="L8" s="3" t="str">
        <f t="shared" ca="1" si="6"/>
        <v>Pending</v>
      </c>
      <c r="N8" t="s">
        <v>48</v>
      </c>
      <c r="O8" t="s">
        <v>23</v>
      </c>
      <c r="S8" t="s">
        <v>58</v>
      </c>
    </row>
    <row r="9" spans="1:19" x14ac:dyDescent="0.35">
      <c r="A9" s="2">
        <f t="shared" ca="1" si="0"/>
        <v>46077</v>
      </c>
      <c r="B9" s="3" t="str">
        <f t="shared" si="1"/>
        <v>P008</v>
      </c>
      <c r="C9" s="3" t="str" cm="1">
        <f t="array" aca="1" ref="C9" ca="1">IF(D9="MALE",INDEX(O9:O14,RANDBETWEEN(1,COUNTA(O9:O14))),INDEX(N9:N58,RANDBETWEEN(1,COUNTA(N9:N58))))</f>
        <v>kasish</v>
      </c>
      <c r="D9" s="3" t="str">
        <f t="shared" ca="1" si="2"/>
        <v>FEMALE</v>
      </c>
      <c r="E9" s="3">
        <f t="shared" ca="1" si="3"/>
        <v>64</v>
      </c>
      <c r="F9" s="3" t="s">
        <v>8</v>
      </c>
      <c r="G9" s="5" t="s">
        <v>37</v>
      </c>
      <c r="H9" s="3">
        <f t="shared" ca="1" si="4"/>
        <v>8956</v>
      </c>
      <c r="I9" t="str" cm="1">
        <f t="array" aca="1" ref="I9" ca="1">INDEX($M$1:$M$5,RANDBETWEEN(1,5))</f>
        <v>Dr . Khan</v>
      </c>
      <c r="J9" s="3" t="str">
        <f t="shared" ca="1" si="5"/>
        <v>Card</v>
      </c>
      <c r="K9" t="str" cm="1">
        <f t="array" aca="1" ref="K9" ca="1">INDEX($S$51:$S$60,RANDBETWEEN(1,COUNTIF($S$51:$S$60,"&lt;&gt;")))</f>
        <v>NAGPUR</v>
      </c>
      <c r="L9" s="3" t="str">
        <f t="shared" ca="1" si="6"/>
        <v>Completed</v>
      </c>
      <c r="N9" t="s">
        <v>40</v>
      </c>
      <c r="O9" t="s">
        <v>22</v>
      </c>
      <c r="S9" t="s">
        <v>51</v>
      </c>
    </row>
    <row r="10" spans="1:19" x14ac:dyDescent="0.35">
      <c r="A10" s="2">
        <f t="shared" ca="1" si="0"/>
        <v>46025</v>
      </c>
      <c r="B10" s="3" t="str">
        <f t="shared" si="1"/>
        <v>P009</v>
      </c>
      <c r="C10" s="3" t="str" cm="1">
        <f t="array" aca="1" ref="C10" ca="1">IF(D10="MALE",INDEX(O10:O15,RANDBETWEEN(1,COUNTA(O10:O15))),INDEX(N10:N59,RANDBETWEEN(1,COUNTA(N10:N59))))</f>
        <v>Shayam</v>
      </c>
      <c r="D10" s="3" t="str">
        <f t="shared" ca="1" si="2"/>
        <v>MALE</v>
      </c>
      <c r="E10" s="3">
        <f t="shared" ca="1" si="3"/>
        <v>24</v>
      </c>
      <c r="F10" s="3" t="s">
        <v>9</v>
      </c>
      <c r="G10" s="5" t="s">
        <v>36</v>
      </c>
      <c r="H10" s="3">
        <f t="shared" ca="1" si="4"/>
        <v>1933</v>
      </c>
      <c r="I10" t="str" cm="1">
        <f t="array" aca="1" ref="I10" ca="1">INDEX($M$1:$M$5,RANDBETWEEN(1,5))</f>
        <v>Dr . Gupta</v>
      </c>
      <c r="J10" s="3" t="str">
        <f t="shared" ca="1" si="5"/>
        <v>UPI</v>
      </c>
      <c r="K10" t="str" cm="1">
        <f t="array" aca="1" ref="K10" ca="1">INDEX($S$51:$S$60,RANDBETWEEN(1,COUNTIF($S$51:$S$60,"&lt;&gt;")))</f>
        <v>JAIPUR</v>
      </c>
      <c r="L10" s="3" t="str">
        <f t="shared" ca="1" si="6"/>
        <v>Completed</v>
      </c>
      <c r="N10" t="s">
        <v>41</v>
      </c>
      <c r="O10" t="s">
        <v>44</v>
      </c>
      <c r="S10" t="s">
        <v>52</v>
      </c>
    </row>
    <row r="11" spans="1:19" x14ac:dyDescent="0.35">
      <c r="A11" s="2">
        <f t="shared" ca="1" si="0"/>
        <v>46059</v>
      </c>
      <c r="B11" s="3" t="str">
        <f t="shared" si="1"/>
        <v>P010</v>
      </c>
      <c r="C11" s="3" t="str" cm="1">
        <f t="array" aca="1" ref="C11" ca="1">IF(D11="MALE",INDEX(O11:O16,RANDBETWEEN(1,COUNTA(O11:O16))),INDEX(N11:N60,RANDBETWEEN(1,COUNTA(N11:N60))))</f>
        <v>Shreya</v>
      </c>
      <c r="D11" s="3" t="str">
        <f t="shared" ca="1" si="2"/>
        <v>FEMALE</v>
      </c>
      <c r="E11" s="3">
        <f t="shared" ca="1" si="3"/>
        <v>27</v>
      </c>
      <c r="F11" s="3" t="s">
        <v>7</v>
      </c>
      <c r="G11" s="5" t="s">
        <v>36</v>
      </c>
      <c r="H11" s="3">
        <f t="shared" ca="1" si="4"/>
        <v>8206</v>
      </c>
      <c r="I11" t="str" cm="1">
        <f t="array" aca="1" ref="I11" ca="1">INDEX($M$1:$M$5,RANDBETWEEN(1,5))</f>
        <v>Dr . Verma</v>
      </c>
      <c r="J11" s="3" t="str">
        <f t="shared" ca="1" si="5"/>
        <v>Cash</v>
      </c>
      <c r="K11" t="str" cm="1">
        <f t="array" aca="1" ref="K11" ca="1">INDEX($S$51:$S$60,RANDBETWEEN(1,COUNTIF($S$51:$S$60,"&lt;&gt;")))</f>
        <v>NAGPUR</v>
      </c>
      <c r="L11" s="3" t="str">
        <f t="shared" ca="1" si="6"/>
        <v>Completed</v>
      </c>
      <c r="N11" t="s">
        <v>26</v>
      </c>
      <c r="O11" t="s">
        <v>45</v>
      </c>
      <c r="S11" t="s">
        <v>53</v>
      </c>
    </row>
    <row r="12" spans="1:19" x14ac:dyDescent="0.35">
      <c r="A12" s="2">
        <f t="shared" ca="1" si="0"/>
        <v>46061</v>
      </c>
      <c r="B12" s="3" t="str">
        <f t="shared" si="1"/>
        <v>P011</v>
      </c>
      <c r="C12" s="3" t="str" cm="1">
        <f t="array" aca="1" ref="C12" ca="1">IF(D12="MALE",INDEX(O12:O17,RANDBETWEEN(1,COUNTA(O12:O17))),INDEX(N12:N61,RANDBETWEEN(1,COUNTA(N12:N61))))</f>
        <v>Anuj</v>
      </c>
      <c r="D12" s="3" t="str">
        <f t="shared" ca="1" si="2"/>
        <v>MALE</v>
      </c>
      <c r="E12" s="3">
        <f t="shared" ca="1" si="3"/>
        <v>31</v>
      </c>
      <c r="F12" s="3" t="s">
        <v>7</v>
      </c>
      <c r="G12" s="5" t="s">
        <v>36</v>
      </c>
      <c r="H12" s="3">
        <f t="shared" ca="1" si="4"/>
        <v>3575</v>
      </c>
      <c r="I12" t="str" cm="1">
        <f t="array" aca="1" ref="I12" ca="1">INDEX($M$1:$M$5,RANDBETWEEN(1,5))</f>
        <v>Dr . Gupta</v>
      </c>
      <c r="J12" s="3" t="str">
        <f t="shared" ca="1" si="5"/>
        <v>Cash</v>
      </c>
      <c r="K12" t="str" cm="1">
        <f t="array" aca="1" ref="K12" ca="1">INDEX($S$51:$S$60,RANDBETWEEN(1,COUNTIF($S$51:$S$60,"&lt;&gt;")))</f>
        <v>PUNE</v>
      </c>
      <c r="L12" s="3" t="str">
        <f t="shared" ca="1" si="6"/>
        <v>Pending</v>
      </c>
      <c r="N12" t="s">
        <v>24</v>
      </c>
      <c r="O12" t="s">
        <v>46</v>
      </c>
      <c r="S12" t="s">
        <v>54</v>
      </c>
    </row>
    <row r="13" spans="1:19" x14ac:dyDescent="0.35">
      <c r="A13" s="2">
        <f t="shared" ca="1" si="0"/>
        <v>46045</v>
      </c>
      <c r="B13" s="3" t="str">
        <f t="shared" si="1"/>
        <v>P012</v>
      </c>
      <c r="C13" s="3" t="str" cm="1">
        <f t="array" aca="1" ref="C13" ca="1">IF(D13="MALE",INDEX(O13:O18,RANDBETWEEN(1,COUNTA(O13:O18))),INDEX(N13:N62,RANDBETWEEN(1,COUNTA(N13:N62))))</f>
        <v>kajal</v>
      </c>
      <c r="D13" s="3" t="str">
        <f t="shared" ca="1" si="2"/>
        <v>FEMALE</v>
      </c>
      <c r="E13" s="3">
        <f t="shared" ca="1" si="3"/>
        <v>31</v>
      </c>
      <c r="F13" s="3" t="s">
        <v>9</v>
      </c>
      <c r="G13" s="5" t="s">
        <v>36</v>
      </c>
      <c r="H13" s="3">
        <f t="shared" ca="1" si="4"/>
        <v>2058</v>
      </c>
      <c r="I13" t="str" cm="1">
        <f t="array" aca="1" ref="I13" ca="1">INDEX($M$1:$M$5,RANDBETWEEN(1,5))</f>
        <v>Dr . Khan</v>
      </c>
      <c r="J13" s="3" t="str">
        <f t="shared" ca="1" si="5"/>
        <v>UPI</v>
      </c>
      <c r="K13" t="str" cm="1">
        <f t="array" aca="1" ref="K13" ca="1">INDEX($S$51:$S$60,RANDBETWEEN(1,COUNTIF($S$51:$S$60,"&lt;&gt;")))</f>
        <v>INDORE</v>
      </c>
      <c r="L13" s="3" t="str">
        <f t="shared" ca="1" si="6"/>
        <v>Pending</v>
      </c>
      <c r="N13" t="s">
        <v>25</v>
      </c>
      <c r="O13" t="s">
        <v>47</v>
      </c>
      <c r="S13" t="s">
        <v>55</v>
      </c>
    </row>
    <row r="14" spans="1:19" x14ac:dyDescent="0.35">
      <c r="A14" s="2">
        <f t="shared" ca="1" si="0"/>
        <v>46093</v>
      </c>
      <c r="B14" s="3" t="str">
        <f t="shared" si="1"/>
        <v>P013</v>
      </c>
      <c r="C14" s="3" t="str" cm="1">
        <f t="array" aca="1" ref="C14" ca="1">IF(D14="MALE",INDEX(O14:O19,RANDBETWEEN(1,COUNTA(O14:O19))),INDEX(N14:N63,RANDBETWEEN(1,COUNTA(N14:N63))))</f>
        <v>Anuj</v>
      </c>
      <c r="D14" s="3" t="str">
        <f t="shared" ca="1" si="2"/>
        <v>MALE</v>
      </c>
      <c r="E14" s="3">
        <f t="shared" ca="1" si="3"/>
        <v>38</v>
      </c>
      <c r="F14" s="3" t="s">
        <v>9</v>
      </c>
      <c r="G14" s="5" t="s">
        <v>34</v>
      </c>
      <c r="H14" s="3">
        <f t="shared" ca="1" si="4"/>
        <v>6126</v>
      </c>
      <c r="I14" t="str" cm="1">
        <f t="array" aca="1" ref="I14" ca="1">INDEX($M$1:$M$5,RANDBETWEEN(1,5))</f>
        <v>Dr . Gupta</v>
      </c>
      <c r="J14" s="3" t="str">
        <f t="shared" ca="1" si="5"/>
        <v>UPI</v>
      </c>
      <c r="K14" t="str" cm="1">
        <f t="array" aca="1" ref="K14" ca="1">INDEX($S$51:$S$60,RANDBETWEEN(1,COUNTIF($S$51:$S$60,"&lt;&gt;")))</f>
        <v>PUNE</v>
      </c>
      <c r="L14" s="3" t="str">
        <f t="shared" ca="1" si="6"/>
        <v>Pending</v>
      </c>
      <c r="N14" t="s">
        <v>48</v>
      </c>
      <c r="O14" t="s">
        <v>23</v>
      </c>
      <c r="S14" t="s">
        <v>56</v>
      </c>
    </row>
    <row r="15" spans="1:19" x14ac:dyDescent="0.35">
      <c r="A15" s="2">
        <f t="shared" ca="1" si="0"/>
        <v>46098</v>
      </c>
      <c r="B15" s="3" t="str">
        <f t="shared" si="1"/>
        <v>P014</v>
      </c>
      <c r="C15" s="3" t="str" cm="1">
        <f t="array" aca="1" ref="C15" ca="1">IF(D15="MALE",INDEX(O15:O20,RANDBETWEEN(1,COUNTA(O15:O20))),INDEX(N15:N64,RANDBETWEEN(1,COUNTA(N15:N64))))</f>
        <v>Shayam</v>
      </c>
      <c r="D15" s="3" t="str">
        <f t="shared" ca="1" si="2"/>
        <v>MALE</v>
      </c>
      <c r="E15" s="3">
        <f t="shared" ca="1" si="3"/>
        <v>62</v>
      </c>
      <c r="F15" s="3" t="s">
        <v>7</v>
      </c>
      <c r="G15" s="5" t="s">
        <v>37</v>
      </c>
      <c r="H15" s="3">
        <f t="shared" ca="1" si="4"/>
        <v>7214</v>
      </c>
      <c r="I15" t="s">
        <v>27</v>
      </c>
      <c r="J15" s="3" t="str">
        <f t="shared" ca="1" si="5"/>
        <v>Card</v>
      </c>
      <c r="K15" t="str" cm="1">
        <f t="array" aca="1" ref="K15" ca="1">INDEX($S$51:$S$60,RANDBETWEEN(1,COUNTIF($S$51:$S$60,"&lt;&gt;")))</f>
        <v>PUNE</v>
      </c>
      <c r="L15" s="3" t="str">
        <f t="shared" ca="1" si="6"/>
        <v>Pending</v>
      </c>
      <c r="N15" t="s">
        <v>40</v>
      </c>
      <c r="O15" t="s">
        <v>22</v>
      </c>
      <c r="S15" t="s">
        <v>57</v>
      </c>
    </row>
    <row r="16" spans="1:19" x14ac:dyDescent="0.35">
      <c r="A16" s="2">
        <f t="shared" ca="1" si="0"/>
        <v>46099</v>
      </c>
      <c r="B16" s="3" t="str">
        <f t="shared" si="1"/>
        <v>P015</v>
      </c>
      <c r="C16" s="3" t="str" cm="1">
        <f t="array" aca="1" ref="C16" ca="1">IF(D16="MALE",INDEX(O16:O21,RANDBETWEEN(1,COUNTA(O16:O21))),INDEX(N16:N65,RANDBETWEEN(1,COUNTA(N16:N65))))</f>
        <v>Shayam</v>
      </c>
      <c r="D16" s="3" t="str">
        <f t="shared" ca="1" si="2"/>
        <v>MALE</v>
      </c>
      <c r="E16" s="3">
        <f t="shared" ca="1" si="3"/>
        <v>37</v>
      </c>
      <c r="F16" s="3" t="s">
        <v>9</v>
      </c>
      <c r="G16" s="5" t="s">
        <v>16</v>
      </c>
      <c r="H16" s="3">
        <f t="shared" ca="1" si="4"/>
        <v>2742</v>
      </c>
      <c r="I16" t="s">
        <v>28</v>
      </c>
      <c r="J16" s="3" t="str">
        <f t="shared" ca="1" si="5"/>
        <v>Card</v>
      </c>
      <c r="K16" t="str" cm="1">
        <f t="array" aca="1" ref="K16" ca="1">INDEX($S$51:$S$60,RANDBETWEEN(1,COUNTIF($S$51:$S$60,"&lt;&gt;")))</f>
        <v>LUCKNOW</v>
      </c>
      <c r="L16" s="3" t="str">
        <f t="shared" ca="1" si="6"/>
        <v>Completed</v>
      </c>
      <c r="N16" t="s">
        <v>41</v>
      </c>
      <c r="O16" t="s">
        <v>44</v>
      </c>
      <c r="S16" t="s">
        <v>58</v>
      </c>
    </row>
    <row r="17" spans="1:19" x14ac:dyDescent="0.35">
      <c r="A17" s="2">
        <f t="shared" ca="1" si="0"/>
        <v>46084</v>
      </c>
      <c r="B17" s="3" t="str">
        <f t="shared" si="1"/>
        <v>P016</v>
      </c>
      <c r="C17" s="3" t="str" cm="1">
        <f t="array" aca="1" ref="C17" ca="1">IF(D17="MALE",INDEX(O17:O22,RANDBETWEEN(1,COUNTA(O17:O22))),INDEX(N17:N66,RANDBETWEEN(1,COUNTA(N17:N66))))</f>
        <v>Shayam</v>
      </c>
      <c r="D17" s="3" t="str">
        <f t="shared" ca="1" si="2"/>
        <v>MALE</v>
      </c>
      <c r="E17" s="3">
        <f t="shared" ca="1" si="3"/>
        <v>69</v>
      </c>
      <c r="F17" s="3" t="s">
        <v>9</v>
      </c>
      <c r="G17" s="5" t="s">
        <v>36</v>
      </c>
      <c r="H17" s="3">
        <f t="shared" ca="1" si="4"/>
        <v>7179</v>
      </c>
      <c r="I17" t="s">
        <v>29</v>
      </c>
      <c r="J17" s="3" t="str">
        <f t="shared" ca="1" si="5"/>
        <v>Cash</v>
      </c>
      <c r="K17" t="str" cm="1">
        <f t="array" aca="1" ref="K17" ca="1">INDEX($S$51:$S$60,RANDBETWEEN(1,COUNTIF($S$51:$S$60,"&lt;&gt;")))</f>
        <v>INDORE</v>
      </c>
      <c r="L17" s="3" t="str">
        <f t="shared" ca="1" si="6"/>
        <v>Pending</v>
      </c>
      <c r="N17" t="s">
        <v>26</v>
      </c>
      <c r="O17" t="s">
        <v>45</v>
      </c>
      <c r="S17" t="s">
        <v>51</v>
      </c>
    </row>
    <row r="18" spans="1:19" x14ac:dyDescent="0.35">
      <c r="A18" s="2">
        <f t="shared" ca="1" si="0"/>
        <v>46097</v>
      </c>
      <c r="B18" s="3" t="str">
        <f t="shared" si="1"/>
        <v>P017</v>
      </c>
      <c r="C18" s="3" t="str" cm="1">
        <f t="array" aca="1" ref="C18" ca="1">IF(D18="MALE",INDEX(O18:O23,RANDBETWEEN(1,COUNTA(O18:O23))),INDEX(N18:N67,RANDBETWEEN(1,COUNTA(N18:N67))))</f>
        <v>Ram</v>
      </c>
      <c r="D18" s="3" t="str">
        <f t="shared" ca="1" si="2"/>
        <v>MALE</v>
      </c>
      <c r="E18" s="3">
        <f t="shared" ca="1" si="3"/>
        <v>39</v>
      </c>
      <c r="F18" s="3" t="s">
        <v>7</v>
      </c>
      <c r="G18" s="5" t="s">
        <v>36</v>
      </c>
      <c r="H18" s="3">
        <f t="shared" ca="1" si="4"/>
        <v>5213</v>
      </c>
      <c r="I18" t="s">
        <v>30</v>
      </c>
      <c r="J18" s="3" t="str">
        <f t="shared" ca="1" si="5"/>
        <v>Cash</v>
      </c>
      <c r="K18" t="str" cm="1">
        <f t="array" aca="1" ref="K18" ca="1">INDEX($S$51:$S$60,RANDBETWEEN(1,COUNTIF($S$51:$S$60,"&lt;&gt;")))</f>
        <v>PUNE</v>
      </c>
      <c r="L18" s="3" t="str">
        <f t="shared" ca="1" si="6"/>
        <v>Pending</v>
      </c>
      <c r="N18" t="s">
        <v>24</v>
      </c>
      <c r="O18" t="s">
        <v>46</v>
      </c>
      <c r="S18" t="s">
        <v>52</v>
      </c>
    </row>
    <row r="19" spans="1:19" x14ac:dyDescent="0.35">
      <c r="A19" s="2">
        <f t="shared" ca="1" si="0"/>
        <v>46059</v>
      </c>
      <c r="B19" s="3" t="str">
        <f t="shared" si="1"/>
        <v>P018</v>
      </c>
      <c r="C19" s="3" t="str" cm="1">
        <f t="array" aca="1" ref="C19" ca="1">IF(D19="MALE",INDEX(O19:O24,RANDBETWEEN(1,COUNTA(O19:O24))),INDEX(N19:N68,RANDBETWEEN(1,COUNTA(N19:N68))))</f>
        <v>Anushka</v>
      </c>
      <c r="D19" s="3" t="str">
        <f t="shared" ca="1" si="2"/>
        <v>FEMALE</v>
      </c>
      <c r="E19" s="3">
        <f t="shared" ca="1" si="3"/>
        <v>47</v>
      </c>
      <c r="F19" s="3" t="s">
        <v>9</v>
      </c>
      <c r="G19" s="5" t="s">
        <v>36</v>
      </c>
      <c r="H19" s="3">
        <f t="shared" ca="1" si="4"/>
        <v>9122</v>
      </c>
      <c r="I19" t="s">
        <v>27</v>
      </c>
      <c r="J19" s="3" t="str">
        <f t="shared" ca="1" si="5"/>
        <v>Card</v>
      </c>
      <c r="K19" t="str" cm="1">
        <f t="array" aca="1" ref="K19" ca="1">INDEX($S$51:$S$60,RANDBETWEEN(1,COUNTIF($S$51:$S$60,"&lt;&gt;")))</f>
        <v>JAIPUR</v>
      </c>
      <c r="L19" s="3" t="str">
        <f t="shared" ca="1" si="6"/>
        <v>Completed</v>
      </c>
      <c r="N19" t="s">
        <v>25</v>
      </c>
      <c r="O19" t="s">
        <v>47</v>
      </c>
      <c r="S19" t="s">
        <v>53</v>
      </c>
    </row>
    <row r="20" spans="1:19" x14ac:dyDescent="0.35">
      <c r="A20" s="2">
        <f t="shared" ca="1" si="0"/>
        <v>46082</v>
      </c>
      <c r="B20" s="3" t="str">
        <f t="shared" si="1"/>
        <v>P019</v>
      </c>
      <c r="C20" s="3" t="str" cm="1">
        <f t="array" aca="1" ref="C20" ca="1">IF(D20="MALE",INDEX(O20:O25,RANDBETWEEN(1,COUNTA(O20:O25))),INDEX(N20:N69,RANDBETWEEN(1,COUNTA(N20:N69))))</f>
        <v>kajal</v>
      </c>
      <c r="D20" s="3" t="str">
        <f t="shared" ca="1" si="2"/>
        <v>FEMALE</v>
      </c>
      <c r="E20" s="3">
        <f t="shared" ca="1" si="3"/>
        <v>29</v>
      </c>
      <c r="F20" s="3" t="s">
        <v>7</v>
      </c>
      <c r="G20" s="5" t="s">
        <v>36</v>
      </c>
      <c r="H20" s="3">
        <f t="shared" ca="1" si="4"/>
        <v>2960</v>
      </c>
      <c r="I20" t="s">
        <v>31</v>
      </c>
      <c r="J20" s="3" t="str">
        <f t="shared" ca="1" si="5"/>
        <v>UPI</v>
      </c>
      <c r="K20" t="str" cm="1">
        <f t="array" aca="1" ref="K20" ca="1">INDEX($S$51:$S$60,RANDBETWEEN(1,COUNTIF($S$51:$S$60,"&lt;&gt;")))</f>
        <v>PUNE</v>
      </c>
      <c r="L20" s="3" t="str">
        <f t="shared" ca="1" si="6"/>
        <v>Completed</v>
      </c>
      <c r="N20" t="s">
        <v>48</v>
      </c>
      <c r="O20" t="s">
        <v>23</v>
      </c>
      <c r="S20" t="s">
        <v>54</v>
      </c>
    </row>
    <row r="21" spans="1:19" x14ac:dyDescent="0.35">
      <c r="A21" s="2">
        <f t="shared" ca="1" si="0"/>
        <v>46091</v>
      </c>
      <c r="B21" s="3" t="str">
        <f t="shared" si="1"/>
        <v>P020</v>
      </c>
      <c r="C21" s="3" t="str" cm="1">
        <f t="array" aca="1" ref="C21" ca="1">IF(D21="MALE",INDEX(O21:O26,RANDBETWEEN(1,COUNTA(O21:O26))),INDEX(N21:N70,RANDBETWEEN(1,COUNTA(N21:N70))))</f>
        <v>kajal</v>
      </c>
      <c r="D21" s="3" t="str">
        <f t="shared" ca="1" si="2"/>
        <v>FEMALE</v>
      </c>
      <c r="E21" s="3">
        <f t="shared" ca="1" si="3"/>
        <v>31</v>
      </c>
      <c r="F21" s="3" t="s">
        <v>9</v>
      </c>
      <c r="G21" s="5" t="s">
        <v>36</v>
      </c>
      <c r="H21" s="3">
        <f t="shared" ca="1" si="4"/>
        <v>1015</v>
      </c>
      <c r="I21" t="s">
        <v>32</v>
      </c>
      <c r="J21" s="3" t="str">
        <f t="shared" ca="1" si="5"/>
        <v>Card</v>
      </c>
      <c r="K21" t="str" cm="1">
        <f t="array" aca="1" ref="K21" ca="1">INDEX($S$51:$S$60,RANDBETWEEN(1,COUNTIF($S$51:$S$60,"&lt;&gt;")))</f>
        <v>NAGPUR</v>
      </c>
      <c r="L21" s="3" t="str">
        <f t="shared" ca="1" si="6"/>
        <v>Completed</v>
      </c>
      <c r="N21" t="s">
        <v>40</v>
      </c>
      <c r="O21" t="s">
        <v>22</v>
      </c>
      <c r="S21" t="s">
        <v>55</v>
      </c>
    </row>
    <row r="22" spans="1:19" x14ac:dyDescent="0.35">
      <c r="A22" s="2">
        <f t="shared" ca="1" si="0"/>
        <v>46034</v>
      </c>
      <c r="B22" s="3" t="str">
        <f t="shared" si="1"/>
        <v>P021</v>
      </c>
      <c r="C22" s="3" t="str" cm="1">
        <f t="array" aca="1" ref="C22" ca="1">IF(D22="MALE",INDEX(O22:O27,RANDBETWEEN(1,COUNTA(O22:O27))),INDEX(N22:N71,RANDBETWEEN(1,COUNTA(N22:N71))))</f>
        <v>Vansh</v>
      </c>
      <c r="D22" s="3" t="str">
        <f t="shared" ca="1" si="2"/>
        <v>MALE</v>
      </c>
      <c r="E22" s="3">
        <f t="shared" ca="1" si="3"/>
        <v>43</v>
      </c>
      <c r="F22" s="3" t="s">
        <v>7</v>
      </c>
      <c r="G22" s="5" t="s">
        <v>33</v>
      </c>
      <c r="H22" s="3">
        <f t="shared" ca="1" si="4"/>
        <v>9733</v>
      </c>
      <c r="I22" t="s">
        <v>28</v>
      </c>
      <c r="J22" s="3" t="str">
        <f t="shared" ca="1" si="5"/>
        <v>Card</v>
      </c>
      <c r="K22" t="str" cm="1">
        <f t="array" aca="1" ref="K22" ca="1">INDEX($S$51:$S$60,RANDBETWEEN(1,COUNTIF($S$51:$S$60,"&lt;&gt;")))</f>
        <v>NAGPUR</v>
      </c>
      <c r="L22" s="3" t="str">
        <f t="shared" ca="1" si="6"/>
        <v>Completed</v>
      </c>
      <c r="N22" t="s">
        <v>41</v>
      </c>
      <c r="O22" t="s">
        <v>44</v>
      </c>
      <c r="S22" t="s">
        <v>56</v>
      </c>
    </row>
    <row r="23" spans="1:19" x14ac:dyDescent="0.35">
      <c r="A23" s="2">
        <f t="shared" ca="1" si="0"/>
        <v>46082</v>
      </c>
      <c r="B23" s="3" t="str">
        <f t="shared" si="1"/>
        <v>P022</v>
      </c>
      <c r="C23" s="3" t="str" cm="1">
        <f t="array" aca="1" ref="C23" ca="1">IF(D23="MALE",INDEX(O23:O28,RANDBETWEEN(1,COUNTA(O23:O28))),INDEX(N23:N72,RANDBETWEEN(1,COUNTA(N23:N72))))</f>
        <v>Vansh</v>
      </c>
      <c r="D23" s="3" t="str">
        <f t="shared" ca="1" si="2"/>
        <v>MALE</v>
      </c>
      <c r="E23" s="3">
        <f t="shared" ca="1" si="3"/>
        <v>65</v>
      </c>
      <c r="F23" s="3" t="s">
        <v>7</v>
      </c>
      <c r="G23" s="5" t="s">
        <v>35</v>
      </c>
      <c r="H23" s="3">
        <f t="shared" ca="1" si="4"/>
        <v>2893</v>
      </c>
      <c r="I23" t="s">
        <v>30</v>
      </c>
      <c r="J23" s="3" t="str">
        <f t="shared" ca="1" si="5"/>
        <v>Card</v>
      </c>
      <c r="K23" t="str" cm="1">
        <f t="array" aca="1" ref="K23" ca="1">INDEX($S$51:$S$60,RANDBETWEEN(1,COUNTIF($S$51:$S$60,"&lt;&gt;")))</f>
        <v>LUCKNOW</v>
      </c>
      <c r="L23" s="3" t="str">
        <f t="shared" ca="1" si="6"/>
        <v>Pending</v>
      </c>
      <c r="N23" t="s">
        <v>26</v>
      </c>
      <c r="O23" t="s">
        <v>45</v>
      </c>
      <c r="S23" t="s">
        <v>57</v>
      </c>
    </row>
    <row r="24" spans="1:19" x14ac:dyDescent="0.35">
      <c r="A24" s="2">
        <f t="shared" ca="1" si="0"/>
        <v>46064</v>
      </c>
      <c r="B24" s="3" t="str">
        <f t="shared" si="1"/>
        <v>P023</v>
      </c>
      <c r="C24" s="3" t="str" cm="1">
        <f t="array" aca="1" ref="C24" ca="1">IF(D24="MALE",INDEX(O24:O29,RANDBETWEEN(1,COUNTA(O24:O29))),INDEX(N24:N73,RANDBETWEEN(1,COUNTA(N24:N73))))</f>
        <v>Radha</v>
      </c>
      <c r="D24" s="3" t="str">
        <f t="shared" ca="1" si="2"/>
        <v>FEMALE</v>
      </c>
      <c r="E24" s="3">
        <f t="shared" ca="1" si="3"/>
        <v>63</v>
      </c>
      <c r="F24" s="3" t="s">
        <v>9</v>
      </c>
      <c r="G24" s="5" t="s">
        <v>37</v>
      </c>
      <c r="H24" s="3">
        <f t="shared" ca="1" si="4"/>
        <v>8644</v>
      </c>
      <c r="I24" t="str" cm="1">
        <f t="array" aca="1" ref="I24" ca="1">INDEX($M$1:$M$5,RANDBETWEEN(1,5))</f>
        <v>Dr . Sharma</v>
      </c>
      <c r="J24" s="3" t="str">
        <f t="shared" ca="1" si="5"/>
        <v>Card</v>
      </c>
      <c r="K24" t="str" cm="1">
        <f t="array" aca="1" ref="K24" ca="1">INDEX($S$51:$S$60,RANDBETWEEN(1,COUNTIF($S$51:$S$60,"&lt;&gt;")))</f>
        <v>PUNE</v>
      </c>
      <c r="L24" s="3" t="str">
        <f t="shared" ca="1" si="6"/>
        <v>Pending</v>
      </c>
      <c r="N24" t="s">
        <v>24</v>
      </c>
      <c r="O24" t="s">
        <v>46</v>
      </c>
      <c r="S24" t="s">
        <v>58</v>
      </c>
    </row>
    <row r="25" spans="1:19" x14ac:dyDescent="0.35">
      <c r="A25" s="2">
        <f t="shared" ca="1" si="0"/>
        <v>46082</v>
      </c>
      <c r="B25" s="3" t="str">
        <f t="shared" si="1"/>
        <v>P024</v>
      </c>
      <c r="C25" s="3" t="str" cm="1">
        <f t="array" aca="1" ref="C25" ca="1">IF(D25="MALE",INDEX(O25:O30,RANDBETWEEN(1,COUNTA(O25:O30))),INDEX(N25:N74,RANDBETWEEN(1,COUNTA(N25:N74))))</f>
        <v>Anushka</v>
      </c>
      <c r="D25" s="3" t="str">
        <f t="shared" ca="1" si="2"/>
        <v>FEMALE</v>
      </c>
      <c r="E25" s="3">
        <f t="shared" ca="1" si="3"/>
        <v>49</v>
      </c>
      <c r="F25" s="3" t="s">
        <v>7</v>
      </c>
      <c r="G25" s="5" t="s">
        <v>16</v>
      </c>
      <c r="H25" s="3">
        <f t="shared" ca="1" si="4"/>
        <v>5751</v>
      </c>
      <c r="I25" t="str" cm="1">
        <f t="array" aca="1" ref="I25" ca="1">INDEX($M$1:$M$5,RANDBETWEEN(1,5))</f>
        <v>Dr . Sharma</v>
      </c>
      <c r="J25" s="3" t="str">
        <f t="shared" ca="1" si="5"/>
        <v>Card</v>
      </c>
      <c r="K25" t="str" cm="1">
        <f t="array" aca="1" ref="K25" ca="1">INDEX($S$51:$S$60,RANDBETWEEN(1,COUNTIF($S$51:$S$60,"&lt;&gt;")))</f>
        <v>PUNE</v>
      </c>
      <c r="L25" s="3" t="str">
        <f t="shared" ca="1" si="6"/>
        <v>Completed</v>
      </c>
      <c r="N25" t="s">
        <v>25</v>
      </c>
      <c r="O25" t="s">
        <v>47</v>
      </c>
      <c r="S25" t="s">
        <v>52</v>
      </c>
    </row>
    <row r="26" spans="1:19" x14ac:dyDescent="0.35">
      <c r="A26" s="2">
        <f t="shared" ca="1" si="0"/>
        <v>46086</v>
      </c>
      <c r="B26" s="3" t="str">
        <f t="shared" si="1"/>
        <v>P025</v>
      </c>
      <c r="C26" s="3" t="str" cm="1">
        <f t="array" aca="1" ref="C26" ca="1">IF(D26="MALE",INDEX(O26:O31,RANDBETWEEN(1,COUNTA(O26:O31))),INDEX(N26:N75,RANDBETWEEN(1,COUNTA(N26:N75))))</f>
        <v>Karan</v>
      </c>
      <c r="D26" s="3" t="str">
        <f t="shared" ca="1" si="2"/>
        <v>MALE</v>
      </c>
      <c r="E26" s="3">
        <f t="shared" ca="1" si="3"/>
        <v>47</v>
      </c>
      <c r="F26" s="3" t="s">
        <v>9</v>
      </c>
      <c r="G26" s="5" t="s">
        <v>35</v>
      </c>
      <c r="H26" s="3">
        <f t="shared" ca="1" si="4"/>
        <v>1687</v>
      </c>
      <c r="I26" t="str" cm="1">
        <f t="array" aca="1" ref="I26" ca="1">INDEX($M$1:$M$5,RANDBETWEEN(1,5))</f>
        <v>Dr . Singh</v>
      </c>
      <c r="J26" s="3" t="str">
        <f t="shared" ca="1" si="5"/>
        <v>UPI</v>
      </c>
      <c r="K26" t="str" cm="1">
        <f t="array" aca="1" ref="K26" ca="1">INDEX($S$51:$S$60,RANDBETWEEN(1,COUNTIF($S$51:$S$60,"&lt;&gt;")))</f>
        <v>PUNE</v>
      </c>
      <c r="L26" s="3" t="str">
        <f t="shared" ca="1" si="6"/>
        <v>Pending</v>
      </c>
      <c r="N26" t="s">
        <v>48</v>
      </c>
      <c r="O26" t="s">
        <v>23</v>
      </c>
      <c r="S26" t="s">
        <v>53</v>
      </c>
    </row>
    <row r="27" spans="1:19" x14ac:dyDescent="0.35">
      <c r="A27" s="2">
        <f t="shared" ca="1" si="0"/>
        <v>46040</v>
      </c>
      <c r="B27" s="3" t="str">
        <f t="shared" si="1"/>
        <v>P026</v>
      </c>
      <c r="C27" s="3" t="str" cm="1">
        <f t="array" aca="1" ref="C27" ca="1">IF(D27="MALE",INDEX(O27:O32,RANDBETWEEN(1,COUNTA(O27:O32))),INDEX(N27:N76,RANDBETWEEN(1,COUNTA(N27:N76))))</f>
        <v>Ram</v>
      </c>
      <c r="D27" s="3" t="str">
        <f t="shared" ca="1" si="2"/>
        <v>MALE</v>
      </c>
      <c r="E27" s="3">
        <f t="shared" ca="1" si="3"/>
        <v>55</v>
      </c>
      <c r="F27" s="3" t="s">
        <v>8</v>
      </c>
      <c r="G27" s="5" t="s">
        <v>34</v>
      </c>
      <c r="H27" s="3">
        <f t="shared" ca="1" si="4"/>
        <v>7613</v>
      </c>
      <c r="I27" t="str" cm="1">
        <f t="array" aca="1" ref="I27" ca="1">INDEX($M$1:$M$5,RANDBETWEEN(1,5))</f>
        <v>Dr . Khan</v>
      </c>
      <c r="J27" s="3" t="str">
        <f t="shared" ca="1" si="5"/>
        <v>Card</v>
      </c>
      <c r="K27" t="str" cm="1">
        <f t="array" aca="1" ref="K27" ca="1">INDEX($S$51:$S$60,RANDBETWEEN(1,COUNTIF($S$51:$S$60,"&lt;&gt;")))</f>
        <v>INDORE</v>
      </c>
      <c r="L27" s="3" t="str">
        <f t="shared" ca="1" si="6"/>
        <v>Completed</v>
      </c>
      <c r="N27" t="s">
        <v>40</v>
      </c>
      <c r="O27" t="s">
        <v>22</v>
      </c>
      <c r="S27" t="s">
        <v>54</v>
      </c>
    </row>
    <row r="28" spans="1:19" x14ac:dyDescent="0.35">
      <c r="A28" s="2">
        <f t="shared" ca="1" si="0"/>
        <v>46091</v>
      </c>
      <c r="B28" s="3" t="str">
        <f t="shared" si="1"/>
        <v>P027</v>
      </c>
      <c r="C28" s="3" t="str" cm="1">
        <f t="array" aca="1" ref="C28" ca="1">IF(D28="MALE",INDEX(O28:O33,RANDBETWEEN(1,COUNTA(O28:O33))),INDEX(N28:N77,RANDBETWEEN(1,COUNTA(N28:N77))))</f>
        <v>Ram</v>
      </c>
      <c r="D28" s="3" t="str">
        <f t="shared" ca="1" si="2"/>
        <v>MALE</v>
      </c>
      <c r="E28" s="3">
        <f t="shared" ca="1" si="3"/>
        <v>52</v>
      </c>
      <c r="F28" s="3" t="s">
        <v>8</v>
      </c>
      <c r="G28" s="5" t="s">
        <v>35</v>
      </c>
      <c r="H28" s="3">
        <f t="shared" ca="1" si="4"/>
        <v>8980</v>
      </c>
      <c r="I28" t="str" cm="1">
        <f t="array" aca="1" ref="I28" ca="1">INDEX($M$1:$M$5,RANDBETWEEN(1,5))</f>
        <v>Dr . Khan</v>
      </c>
      <c r="J28" s="3" t="str">
        <f t="shared" ca="1" si="5"/>
        <v>Cash</v>
      </c>
      <c r="K28" t="str" cm="1">
        <f t="array" aca="1" ref="K28" ca="1">INDEX($S$51:$S$60,RANDBETWEEN(1,COUNTIF($S$51:$S$60,"&lt;&gt;")))</f>
        <v>NAGPUR</v>
      </c>
      <c r="L28" s="3" t="str">
        <f t="shared" ca="1" si="6"/>
        <v>Completed</v>
      </c>
      <c r="N28" t="s">
        <v>41</v>
      </c>
      <c r="O28" t="s">
        <v>44</v>
      </c>
      <c r="S28" t="s">
        <v>55</v>
      </c>
    </row>
    <row r="29" spans="1:19" x14ac:dyDescent="0.35">
      <c r="A29" s="2">
        <f t="shared" ca="1" si="0"/>
        <v>46072</v>
      </c>
      <c r="B29" s="3" t="str">
        <f t="shared" si="1"/>
        <v>P028</v>
      </c>
      <c r="C29" s="3" t="str" cm="1">
        <f t="array" aca="1" ref="C29" ca="1">IF(D29="MALE",INDEX(O29:O34,RANDBETWEEN(1,COUNTA(O29:O34))),INDEX(N29:N78,RANDBETWEEN(1,COUNTA(N29:N78))))</f>
        <v>Anushka</v>
      </c>
      <c r="D29" s="3" t="str">
        <f t="shared" ca="1" si="2"/>
        <v>FEMALE</v>
      </c>
      <c r="E29" s="3">
        <f t="shared" ca="1" si="3"/>
        <v>36</v>
      </c>
      <c r="F29" s="3" t="s">
        <v>9</v>
      </c>
      <c r="G29" s="5" t="s">
        <v>34</v>
      </c>
      <c r="H29" s="3">
        <f t="shared" ca="1" si="4"/>
        <v>7886</v>
      </c>
      <c r="I29" t="str" cm="1">
        <f t="array" aca="1" ref="I29" ca="1">INDEX($M$1:$M$5,RANDBETWEEN(1,5))</f>
        <v>Dr . Sharma</v>
      </c>
      <c r="J29" s="3" t="str">
        <f t="shared" ca="1" si="5"/>
        <v>UPI</v>
      </c>
      <c r="K29" t="str" cm="1">
        <f t="array" aca="1" ref="K29" ca="1">INDEX($S$51:$S$60,RANDBETWEEN(1,COUNTIF($S$51:$S$60,"&lt;&gt;")))</f>
        <v>LUCKNOW</v>
      </c>
      <c r="L29" s="3" t="str">
        <f t="shared" ca="1" si="6"/>
        <v>Completed</v>
      </c>
      <c r="N29" t="s">
        <v>26</v>
      </c>
      <c r="O29" t="s">
        <v>45</v>
      </c>
      <c r="S29" t="s">
        <v>56</v>
      </c>
    </row>
    <row r="30" spans="1:19" x14ac:dyDescent="0.35">
      <c r="A30" s="2">
        <f t="shared" ca="1" si="0"/>
        <v>46082</v>
      </c>
      <c r="B30" s="3" t="str">
        <f t="shared" si="1"/>
        <v>P029</v>
      </c>
      <c r="C30" s="3" t="str" cm="1">
        <f t="array" aca="1" ref="C30" ca="1">IF(D30="MALE",INDEX(O30:O35,RANDBETWEEN(1,COUNTA(O30:O35))),INDEX(N30:N79,RANDBETWEEN(1,COUNTA(N30:N79))))</f>
        <v>kasish</v>
      </c>
      <c r="D30" s="3" t="str">
        <f t="shared" ca="1" si="2"/>
        <v>FEMALE</v>
      </c>
      <c r="E30" s="3">
        <f t="shared" ca="1" si="3"/>
        <v>37</v>
      </c>
      <c r="F30" s="3" t="s">
        <v>8</v>
      </c>
      <c r="G30" s="5" t="s">
        <v>34</v>
      </c>
      <c r="H30" s="3">
        <f t="shared" ca="1" si="4"/>
        <v>5702</v>
      </c>
      <c r="I30" t="str" cm="1">
        <f t="array" aca="1" ref="I30" ca="1">INDEX($M$1:$M$5,RANDBETWEEN(1,5))</f>
        <v>Dr . Khan</v>
      </c>
      <c r="J30" s="3" t="str">
        <f t="shared" ca="1" si="5"/>
        <v>UPI</v>
      </c>
      <c r="K30" t="str" cm="1">
        <f t="array" aca="1" ref="K30" ca="1">INDEX($S$51:$S$60,RANDBETWEEN(1,COUNTIF($S$51:$S$60,"&lt;&gt;")))</f>
        <v>NAGPUR</v>
      </c>
      <c r="L30" s="3" t="str">
        <f t="shared" ca="1" si="6"/>
        <v>Completed</v>
      </c>
      <c r="N30" t="s">
        <v>24</v>
      </c>
      <c r="O30" t="s">
        <v>46</v>
      </c>
      <c r="S30" t="s">
        <v>57</v>
      </c>
    </row>
    <row r="31" spans="1:19" x14ac:dyDescent="0.35">
      <c r="A31" s="2">
        <f t="shared" ca="1" si="0"/>
        <v>46060</v>
      </c>
      <c r="B31" s="3" t="str">
        <f t="shared" si="1"/>
        <v>P030</v>
      </c>
      <c r="C31" s="3" t="str" cm="1">
        <f t="array" aca="1" ref="C31" ca="1">IF(D31="MALE",INDEX(O31:O36,RANDBETWEEN(1,COUNTA(O31:O36))),INDEX(N31:N80,RANDBETWEEN(1,COUNTA(N31:N80))))</f>
        <v>Mohit</v>
      </c>
      <c r="D31" s="3" t="str">
        <f t="shared" ca="1" si="2"/>
        <v>MALE</v>
      </c>
      <c r="E31" s="3">
        <f t="shared" ca="1" si="3"/>
        <v>37</v>
      </c>
      <c r="F31" s="3" t="s">
        <v>7</v>
      </c>
      <c r="G31" s="5" t="s">
        <v>16</v>
      </c>
      <c r="H31" s="3">
        <f t="shared" ca="1" si="4"/>
        <v>1208</v>
      </c>
      <c r="I31" t="str" cm="1">
        <f t="array" aca="1" ref="I31" ca="1">INDEX($M$1:$M$5,RANDBETWEEN(1,5))</f>
        <v>Dr . Khan</v>
      </c>
      <c r="J31" s="3" t="str">
        <f t="shared" ca="1" si="5"/>
        <v>UPI</v>
      </c>
      <c r="K31" t="str" cm="1">
        <f t="array" aca="1" ref="K31" ca="1">INDEX($S$51:$S$60,RANDBETWEEN(1,COUNTIF($S$51:$S$60,"&lt;&gt;")))</f>
        <v>LUCKNOW</v>
      </c>
      <c r="L31" s="3" t="str">
        <f t="shared" ca="1" si="6"/>
        <v>Pending</v>
      </c>
      <c r="N31" t="s">
        <v>25</v>
      </c>
      <c r="O31" t="s">
        <v>47</v>
      </c>
      <c r="S31" t="s">
        <v>58</v>
      </c>
    </row>
    <row r="32" spans="1:19" x14ac:dyDescent="0.35">
      <c r="A32" s="2">
        <f t="shared" ca="1" si="0"/>
        <v>46061</v>
      </c>
      <c r="B32" s="3" t="str">
        <f t="shared" si="1"/>
        <v>P031</v>
      </c>
      <c r="C32" s="3" t="str" cm="1">
        <f t="array" aca="1" ref="C32" ca="1">IF(D32="MALE",INDEX(O32:O37,RANDBETWEEN(1,COUNTA(O32:O37))),INDEX(N32:N81,RANDBETWEEN(1,COUNTA(N32:N81))))</f>
        <v>kasish</v>
      </c>
      <c r="D32" s="3" t="str">
        <f t="shared" ca="1" si="2"/>
        <v>FEMALE</v>
      </c>
      <c r="E32" s="3">
        <f t="shared" ca="1" si="3"/>
        <v>70</v>
      </c>
      <c r="F32" s="3" t="s">
        <v>8</v>
      </c>
      <c r="G32" s="5" t="s">
        <v>34</v>
      </c>
      <c r="H32" s="3">
        <f t="shared" ca="1" si="4"/>
        <v>6518</v>
      </c>
      <c r="I32" t="str" cm="1">
        <f t="array" aca="1" ref="I32" ca="1">INDEX($M$1:$M$5,RANDBETWEEN(1,5))</f>
        <v>Dr . Verma</v>
      </c>
      <c r="J32" s="3" t="str">
        <f t="shared" ca="1" si="5"/>
        <v>Card</v>
      </c>
      <c r="K32" t="str" cm="1">
        <f t="array" aca="1" ref="K32" ca="1">INDEX($S$51:$S$60,RANDBETWEEN(1,COUNTIF($S$51:$S$60,"&lt;&gt;")))</f>
        <v>NAGPUR</v>
      </c>
      <c r="L32" s="3" t="str">
        <f t="shared" ca="1" si="6"/>
        <v>Pending</v>
      </c>
      <c r="N32" t="s">
        <v>48</v>
      </c>
      <c r="O32" t="s">
        <v>23</v>
      </c>
      <c r="S32" t="s">
        <v>51</v>
      </c>
    </row>
    <row r="33" spans="1:19" x14ac:dyDescent="0.35">
      <c r="A33" s="2">
        <f t="shared" ca="1" si="0"/>
        <v>46036</v>
      </c>
      <c r="B33" s="3" t="str">
        <f t="shared" si="1"/>
        <v>P032</v>
      </c>
      <c r="C33" s="3" t="str" cm="1">
        <f t="array" aca="1" ref="C33" ca="1">IF(D33="MALE",INDEX(O33:O38,RANDBETWEEN(1,COUNTA(O33:O38))),INDEX(N33:N82,RANDBETWEEN(1,COUNTA(N33:N82))))</f>
        <v>Mohit</v>
      </c>
      <c r="D33" s="3" t="str">
        <f t="shared" ca="1" si="2"/>
        <v>MALE</v>
      </c>
      <c r="E33" s="3">
        <f t="shared" ca="1" si="3"/>
        <v>52</v>
      </c>
      <c r="F33" s="3" t="s">
        <v>7</v>
      </c>
      <c r="G33" s="5" t="s">
        <v>35</v>
      </c>
      <c r="H33" s="3">
        <f t="shared" ca="1" si="4"/>
        <v>6104</v>
      </c>
      <c r="I33" t="str" cm="1">
        <f t="array" aca="1" ref="I33" ca="1">INDEX($M$1:$M$5,RANDBETWEEN(1,5))</f>
        <v>Dr . Sharma</v>
      </c>
      <c r="J33" s="3" t="str">
        <f t="shared" ca="1" si="5"/>
        <v>UPI</v>
      </c>
      <c r="K33" t="str" cm="1">
        <f t="array" aca="1" ref="K33" ca="1">INDEX($S$51:$S$60,RANDBETWEEN(1,COUNTIF($S$51:$S$60,"&lt;&gt;")))</f>
        <v>LUCKNOW</v>
      </c>
      <c r="L33" s="3" t="str">
        <f t="shared" ca="1" si="6"/>
        <v>Pending</v>
      </c>
      <c r="N33" t="s">
        <v>40</v>
      </c>
      <c r="O33" t="s">
        <v>22</v>
      </c>
      <c r="S33" t="s">
        <v>52</v>
      </c>
    </row>
    <row r="34" spans="1:19" x14ac:dyDescent="0.35">
      <c r="A34" s="2">
        <f t="shared" ca="1" si="0"/>
        <v>46048</v>
      </c>
      <c r="B34" s="3" t="str">
        <f t="shared" si="1"/>
        <v>P033</v>
      </c>
      <c r="C34" s="3" t="str" cm="1">
        <f t="array" aca="1" ref="C34" ca="1">IF(D34="MALE",INDEX(O34:O39,RANDBETWEEN(1,COUNTA(O34:O39))),INDEX(N34:N83,RANDBETWEEN(1,COUNTA(N34:N83))))</f>
        <v>seeta</v>
      </c>
      <c r="D34" s="3" t="str">
        <f t="shared" ca="1" si="2"/>
        <v>FEMALE</v>
      </c>
      <c r="E34" s="3">
        <f t="shared" ca="1" si="3"/>
        <v>22</v>
      </c>
      <c r="F34" s="3" t="s">
        <v>7</v>
      </c>
      <c r="G34" s="5" t="s">
        <v>16</v>
      </c>
      <c r="H34" s="3">
        <f t="shared" ca="1" si="4"/>
        <v>1252</v>
      </c>
      <c r="I34" t="str" cm="1">
        <f t="array" aca="1" ref="I34" ca="1">INDEX($M$1:$M$5,RANDBETWEEN(1,5))</f>
        <v>Dr . Sharma</v>
      </c>
      <c r="J34" s="3" t="str">
        <f t="shared" ca="1" si="5"/>
        <v>UPI</v>
      </c>
      <c r="K34" t="str" cm="1">
        <f t="array" aca="1" ref="K34" ca="1">INDEX($S$51:$S$60,RANDBETWEEN(1,COUNTIF($S$51:$S$60,"&lt;&gt;")))</f>
        <v>NAGPUR</v>
      </c>
      <c r="L34" s="3" t="str">
        <f t="shared" ca="1" si="6"/>
        <v>Completed</v>
      </c>
      <c r="N34" t="s">
        <v>41</v>
      </c>
      <c r="O34" t="s">
        <v>44</v>
      </c>
      <c r="S34" t="s">
        <v>53</v>
      </c>
    </row>
    <row r="35" spans="1:19" x14ac:dyDescent="0.35">
      <c r="A35" s="2">
        <f t="shared" ca="1" si="0"/>
        <v>46023</v>
      </c>
      <c r="B35" s="3" t="str">
        <f t="shared" si="1"/>
        <v>P034</v>
      </c>
      <c r="C35" s="3" t="str" cm="1">
        <f t="array" aca="1" ref="C35" ca="1">IF(D35="MALE",INDEX(O35:O40,RANDBETWEEN(1,COUNTA(O35:O40))),INDEX(N35:N84,RANDBETWEEN(1,COUNTA(N35:N84))))</f>
        <v>Vansh</v>
      </c>
      <c r="D35" s="3" t="str">
        <f t="shared" ca="1" si="2"/>
        <v>MALE</v>
      </c>
      <c r="E35" s="3">
        <f t="shared" ca="1" si="3"/>
        <v>32</v>
      </c>
      <c r="F35" s="3" t="s">
        <v>7</v>
      </c>
      <c r="G35" s="5" t="s">
        <v>37</v>
      </c>
      <c r="H35" s="3">
        <f t="shared" ca="1" si="4"/>
        <v>2616</v>
      </c>
      <c r="I35" t="str" cm="1">
        <f t="array" aca="1" ref="I35" ca="1">INDEX($M$1:$M$5,RANDBETWEEN(1,5))</f>
        <v>Dr . Khan</v>
      </c>
      <c r="J35" s="3" t="str">
        <f t="shared" ca="1" si="5"/>
        <v>UPI</v>
      </c>
      <c r="K35" t="str" cm="1">
        <f t="array" aca="1" ref="K35" ca="1">INDEX($S$51:$S$60,RANDBETWEEN(1,COUNTIF($S$51:$S$60,"&lt;&gt;")))</f>
        <v>INDORE</v>
      </c>
      <c r="L35" s="3" t="str">
        <f t="shared" ca="1" si="6"/>
        <v>Pending</v>
      </c>
      <c r="N35" t="s">
        <v>26</v>
      </c>
      <c r="O35" t="s">
        <v>45</v>
      </c>
      <c r="S35" t="s">
        <v>54</v>
      </c>
    </row>
    <row r="36" spans="1:19" x14ac:dyDescent="0.35">
      <c r="A36" s="2">
        <f t="shared" ca="1" si="0"/>
        <v>46075</v>
      </c>
      <c r="B36" s="3" t="str">
        <f t="shared" si="1"/>
        <v>P035</v>
      </c>
      <c r="C36" s="3" t="str" cm="1">
        <f t="array" aca="1" ref="C36" ca="1">IF(D36="MALE",INDEX(O36:O41,RANDBETWEEN(1,COUNTA(O36:O41))),INDEX(N36:N85,RANDBETWEEN(1,COUNTA(N36:N85))))</f>
        <v>Ram</v>
      </c>
      <c r="D36" s="3" t="str">
        <f t="shared" ca="1" si="2"/>
        <v>MALE</v>
      </c>
      <c r="E36" s="3">
        <f t="shared" ca="1" si="3"/>
        <v>37</v>
      </c>
      <c r="F36" s="3" t="s">
        <v>9</v>
      </c>
      <c r="G36" s="5" t="s">
        <v>16</v>
      </c>
      <c r="H36" s="3">
        <f t="shared" ca="1" si="4"/>
        <v>2987</v>
      </c>
      <c r="I36" t="str" cm="1">
        <f t="array" aca="1" ref="I36" ca="1">INDEX($M$1:$M$5,RANDBETWEEN(1,5))</f>
        <v>Dr . Singh</v>
      </c>
      <c r="J36" s="3" t="str">
        <f t="shared" ca="1" si="5"/>
        <v>UPI</v>
      </c>
      <c r="K36" t="str" cm="1">
        <f t="array" aca="1" ref="K36" ca="1">INDEX($S$51:$S$60,RANDBETWEEN(1,COUNTIF($S$51:$S$60,"&lt;&gt;")))</f>
        <v>INDORE</v>
      </c>
      <c r="L36" s="3" t="str">
        <f t="shared" ca="1" si="6"/>
        <v>Pending</v>
      </c>
      <c r="N36" t="s">
        <v>24</v>
      </c>
      <c r="O36" t="s">
        <v>46</v>
      </c>
      <c r="S36" t="s">
        <v>55</v>
      </c>
    </row>
    <row r="37" spans="1:19" x14ac:dyDescent="0.35">
      <c r="A37" s="2">
        <f t="shared" ca="1" si="0"/>
        <v>46065</v>
      </c>
      <c r="B37" s="3" t="str">
        <f t="shared" si="1"/>
        <v>P036</v>
      </c>
      <c r="C37" s="3" t="str" cm="1">
        <f t="array" aca="1" ref="C37" ca="1">IF(D37="MALE",INDEX(O37:O42,RANDBETWEEN(1,COUNTA(O37:O42))),INDEX(N37:N86,RANDBETWEEN(1,COUNTA(N37:N86))))</f>
        <v>Shayam</v>
      </c>
      <c r="D37" s="3" t="str">
        <f t="shared" ca="1" si="2"/>
        <v>MALE</v>
      </c>
      <c r="E37" s="3">
        <f t="shared" ca="1" si="3"/>
        <v>70</v>
      </c>
      <c r="F37" s="3" t="s">
        <v>8</v>
      </c>
      <c r="G37" s="5" t="s">
        <v>33</v>
      </c>
      <c r="H37" s="3">
        <f t="shared" ca="1" si="4"/>
        <v>1421</v>
      </c>
      <c r="I37" t="str" cm="1">
        <f t="array" aca="1" ref="I37" ca="1">INDEX($M$1:$M$5,RANDBETWEEN(1,5))</f>
        <v>Dr . Singh</v>
      </c>
      <c r="J37" s="3" t="str">
        <f t="shared" ca="1" si="5"/>
        <v>UPI</v>
      </c>
      <c r="K37" t="str" cm="1">
        <f t="array" aca="1" ref="K37" ca="1">INDEX($S$51:$S$60,RANDBETWEEN(1,COUNTIF($S$51:$S$60,"&lt;&gt;")))</f>
        <v>NAGPUR</v>
      </c>
      <c r="L37" s="3" t="str">
        <f t="shared" ca="1" si="6"/>
        <v>Pending</v>
      </c>
      <c r="N37" t="s">
        <v>25</v>
      </c>
      <c r="O37" t="s">
        <v>47</v>
      </c>
      <c r="S37" t="s">
        <v>56</v>
      </c>
    </row>
    <row r="38" spans="1:19" x14ac:dyDescent="0.35">
      <c r="A38" s="2">
        <f t="shared" ca="1" si="0"/>
        <v>46072</v>
      </c>
      <c r="B38" s="3" t="str">
        <f t="shared" si="1"/>
        <v>P037</v>
      </c>
      <c r="C38" s="3" t="str" cm="1">
        <f t="array" aca="1" ref="C38" ca="1">IF(D38="MALE",INDEX(O38:O43,RANDBETWEEN(1,COUNTA(O38:O43))),INDEX(N38:N87,RANDBETWEEN(1,COUNTA(N38:N87))))</f>
        <v>kajal</v>
      </c>
      <c r="D38" s="3" t="str">
        <f t="shared" ca="1" si="2"/>
        <v>FEMALE</v>
      </c>
      <c r="E38" s="3">
        <f t="shared" ca="1" si="3"/>
        <v>59</v>
      </c>
      <c r="F38" s="3" t="s">
        <v>8</v>
      </c>
      <c r="G38" s="5" t="s">
        <v>37</v>
      </c>
      <c r="H38" s="3">
        <f t="shared" ca="1" si="4"/>
        <v>7590</v>
      </c>
      <c r="I38" t="str" cm="1">
        <f t="array" aca="1" ref="I38" ca="1">INDEX($M$1:$M$5,RANDBETWEEN(1,5))</f>
        <v>Dr . Singh</v>
      </c>
      <c r="J38" s="3" t="str">
        <f t="shared" ca="1" si="5"/>
        <v>UPI</v>
      </c>
      <c r="K38" t="str" cm="1">
        <f t="array" aca="1" ref="K38" ca="1">INDEX($S$51:$S$60,RANDBETWEEN(1,COUNTIF($S$51:$S$60,"&lt;&gt;")))</f>
        <v>PUNE</v>
      </c>
      <c r="L38" s="3" t="str">
        <f t="shared" ca="1" si="6"/>
        <v>Completed</v>
      </c>
      <c r="N38" t="s">
        <v>48</v>
      </c>
      <c r="O38" t="s">
        <v>23</v>
      </c>
      <c r="S38" t="s">
        <v>57</v>
      </c>
    </row>
    <row r="39" spans="1:19" x14ac:dyDescent="0.35">
      <c r="A39" s="2">
        <f t="shared" ca="1" si="0"/>
        <v>46048</v>
      </c>
      <c r="B39" s="3" t="str">
        <f t="shared" si="1"/>
        <v>P038</v>
      </c>
      <c r="C39" s="3" t="str" cm="1">
        <f t="array" aca="1" ref="C39" ca="1">IF(D39="MALE",INDEX(O39:O44,RANDBETWEEN(1,COUNTA(O39:O44))),INDEX(N39:N88,RANDBETWEEN(1,COUNTA(N39:N88))))</f>
        <v>seeta</v>
      </c>
      <c r="D39" s="3" t="str">
        <f t="shared" ca="1" si="2"/>
        <v>FEMALE</v>
      </c>
      <c r="E39" s="3">
        <f t="shared" ca="1" si="3"/>
        <v>41</v>
      </c>
      <c r="F39" s="3" t="s">
        <v>8</v>
      </c>
      <c r="G39" s="5" t="s">
        <v>34</v>
      </c>
      <c r="H39" s="3">
        <f t="shared" ca="1" si="4"/>
        <v>5082</v>
      </c>
      <c r="I39" t="str" cm="1">
        <f t="array" aca="1" ref="I39" ca="1">INDEX($M$1:$M$5,RANDBETWEEN(1,5))</f>
        <v>Dr . Singh</v>
      </c>
      <c r="J39" s="3" t="str">
        <f t="shared" ca="1" si="5"/>
        <v>Card</v>
      </c>
      <c r="K39" t="str" cm="1">
        <f t="array" aca="1" ref="K39" ca="1">INDEX($S$51:$S$60,RANDBETWEEN(1,COUNTIF($S$51:$S$60,"&lt;&gt;")))</f>
        <v>LUCKNOW</v>
      </c>
      <c r="L39" s="3" t="str">
        <f t="shared" ca="1" si="6"/>
        <v>Pending</v>
      </c>
      <c r="N39" t="s">
        <v>40</v>
      </c>
      <c r="O39" t="s">
        <v>22</v>
      </c>
      <c r="S39" t="s">
        <v>58</v>
      </c>
    </row>
    <row r="40" spans="1:19" x14ac:dyDescent="0.35">
      <c r="A40" s="2">
        <f t="shared" ca="1" si="0"/>
        <v>46083</v>
      </c>
      <c r="B40" s="3" t="str">
        <f t="shared" si="1"/>
        <v>P039</v>
      </c>
      <c r="C40" s="3" t="str" cm="1">
        <f t="array" aca="1" ref="C40" ca="1">IF(D40="MALE",INDEX(O40:O45,RANDBETWEEN(1,COUNTA(O40:O45))),INDEX(N40:N89,RANDBETWEEN(1,COUNTA(N40:N89))))</f>
        <v>Karan</v>
      </c>
      <c r="D40" s="3" t="str">
        <f t="shared" ca="1" si="2"/>
        <v>MALE</v>
      </c>
      <c r="E40" s="3">
        <f t="shared" ca="1" si="3"/>
        <v>29</v>
      </c>
      <c r="F40" s="3" t="s">
        <v>7</v>
      </c>
      <c r="G40" s="5" t="s">
        <v>35</v>
      </c>
      <c r="H40" s="3">
        <f t="shared" ca="1" si="4"/>
        <v>8105</v>
      </c>
      <c r="I40" t="str" cm="1">
        <f t="array" aca="1" ref="I40" ca="1">INDEX($M$1:$M$5,RANDBETWEEN(1,5))</f>
        <v>Dr . Verma</v>
      </c>
      <c r="J40" s="3" t="str">
        <f t="shared" ca="1" si="5"/>
        <v>Card</v>
      </c>
      <c r="K40" t="str" cm="1">
        <f t="array" aca="1" ref="K40" ca="1">INDEX($S$51:$S$60,RANDBETWEEN(1,COUNTIF($S$51:$S$60,"&lt;&gt;")))</f>
        <v>JAIPUR</v>
      </c>
      <c r="L40" s="3" t="str">
        <f t="shared" ca="1" si="6"/>
        <v>Completed</v>
      </c>
      <c r="N40" t="s">
        <v>41</v>
      </c>
      <c r="O40" t="s">
        <v>44</v>
      </c>
      <c r="S40" t="s">
        <v>51</v>
      </c>
    </row>
    <row r="41" spans="1:19" x14ac:dyDescent="0.35">
      <c r="A41" s="2">
        <f t="shared" ca="1" si="0"/>
        <v>46100</v>
      </c>
      <c r="B41" s="3" t="str">
        <f t="shared" si="1"/>
        <v>P040</v>
      </c>
      <c r="C41" s="3" t="str" cm="1">
        <f t="array" aca="1" ref="C41" ca="1">IF(D41="MALE",INDEX(O41:O46,RANDBETWEEN(1,COUNTA(O41:O46))),INDEX(N41:N90,RANDBETWEEN(1,COUNTA(N41:N90))))</f>
        <v>Anushka</v>
      </c>
      <c r="D41" s="3" t="str">
        <f t="shared" ca="1" si="2"/>
        <v>FEMALE</v>
      </c>
      <c r="E41" s="3">
        <f t="shared" ca="1" si="3"/>
        <v>37</v>
      </c>
      <c r="F41" s="3" t="s">
        <v>7</v>
      </c>
      <c r="G41" s="5" t="s">
        <v>37</v>
      </c>
      <c r="H41" s="3">
        <f t="shared" ca="1" si="4"/>
        <v>9575</v>
      </c>
      <c r="I41" t="str" cm="1">
        <f t="array" aca="1" ref="I41" ca="1">INDEX($M$1:$M$5,RANDBETWEEN(1,5))</f>
        <v>Dr . Sharma</v>
      </c>
      <c r="J41" s="3" t="str">
        <f t="shared" ca="1" si="5"/>
        <v>Cash</v>
      </c>
      <c r="K41" t="str" cm="1">
        <f t="array" aca="1" ref="K41" ca="1">INDEX($S$51:$S$60,RANDBETWEEN(1,COUNTIF($S$51:$S$60,"&lt;&gt;")))</f>
        <v>PUNE</v>
      </c>
      <c r="L41" s="3" t="str">
        <f t="shared" ca="1" si="6"/>
        <v>Pending</v>
      </c>
      <c r="N41" t="s">
        <v>26</v>
      </c>
      <c r="O41" t="s">
        <v>45</v>
      </c>
      <c r="S41" t="s">
        <v>52</v>
      </c>
    </row>
    <row r="42" spans="1:19" x14ac:dyDescent="0.35">
      <c r="A42" s="2">
        <f t="shared" ca="1" si="0"/>
        <v>46105</v>
      </c>
      <c r="B42" s="3" t="str">
        <f t="shared" si="1"/>
        <v>P041</v>
      </c>
      <c r="C42" s="3" t="str" cm="1">
        <f t="array" aca="1" ref="C42" ca="1">IF(D42="MALE",INDEX(O42:O47,RANDBETWEEN(1,COUNTA(O42:O47))),INDEX(N42:N91,RANDBETWEEN(1,COUNTA(N42:N91))))</f>
        <v>Anushka</v>
      </c>
      <c r="D42" s="3" t="str">
        <f t="shared" ca="1" si="2"/>
        <v>FEMALE</v>
      </c>
      <c r="E42" s="3">
        <f t="shared" ca="1" si="3"/>
        <v>28</v>
      </c>
      <c r="F42" s="3" t="s">
        <v>8</v>
      </c>
      <c r="G42" s="5" t="s">
        <v>33</v>
      </c>
      <c r="H42" s="3">
        <f t="shared" ca="1" si="4"/>
        <v>1902</v>
      </c>
      <c r="I42" t="str" cm="1">
        <f t="array" aca="1" ref="I42" ca="1">INDEX($M$1:$M$5,RANDBETWEEN(1,5))</f>
        <v>Dr . Singh</v>
      </c>
      <c r="J42" s="3" t="str">
        <f t="shared" ca="1" si="5"/>
        <v>Card</v>
      </c>
      <c r="K42" t="str" cm="1">
        <f t="array" aca="1" ref="K42" ca="1">INDEX($S$51:$S$60,RANDBETWEEN(1,COUNTIF($S$51:$S$60,"&lt;&gt;")))</f>
        <v>LUCKNOW</v>
      </c>
      <c r="L42" s="3" t="str">
        <f t="shared" ca="1" si="6"/>
        <v>Pending</v>
      </c>
      <c r="N42" t="s">
        <v>24</v>
      </c>
      <c r="O42" t="s">
        <v>46</v>
      </c>
      <c r="S42" t="s">
        <v>53</v>
      </c>
    </row>
    <row r="43" spans="1:19" x14ac:dyDescent="0.35">
      <c r="A43" s="2">
        <f t="shared" ca="1" si="0"/>
        <v>46031</v>
      </c>
      <c r="B43" s="3" t="str">
        <f t="shared" si="1"/>
        <v>P042</v>
      </c>
      <c r="C43" s="3" t="str" cm="1">
        <f t="array" aca="1" ref="C43" ca="1">IF(D43="MALE",INDEX(O43:O48,RANDBETWEEN(1,COUNTA(O43:O48))),INDEX(N43:N92,RANDBETWEEN(1,COUNTA(N43:N92))))</f>
        <v>Anuj</v>
      </c>
      <c r="D43" s="3" t="str">
        <f t="shared" ca="1" si="2"/>
        <v>MALE</v>
      </c>
      <c r="E43" s="3">
        <f t="shared" ca="1" si="3"/>
        <v>44</v>
      </c>
      <c r="F43" s="3" t="s">
        <v>7</v>
      </c>
      <c r="G43" s="5" t="s">
        <v>34</v>
      </c>
      <c r="H43" s="3">
        <f t="shared" ca="1" si="4"/>
        <v>3015</v>
      </c>
      <c r="I43" t="str" cm="1">
        <f t="array" aca="1" ref="I43" ca="1">INDEX($M$1:$M$5,RANDBETWEEN(1,5))</f>
        <v>Dr . Sharma</v>
      </c>
      <c r="J43" s="3" t="str">
        <f t="shared" ca="1" si="5"/>
        <v>Cash</v>
      </c>
      <c r="K43" t="str" cm="1">
        <f t="array" aca="1" ref="K43" ca="1">INDEX($S$51:$S$60,RANDBETWEEN(1,COUNTIF($S$51:$S$60,"&lt;&gt;")))</f>
        <v>INDORE</v>
      </c>
      <c r="L43" s="3" t="str">
        <f t="shared" ca="1" si="6"/>
        <v>Pending</v>
      </c>
      <c r="N43" t="s">
        <v>25</v>
      </c>
      <c r="O43" t="s">
        <v>47</v>
      </c>
      <c r="S43" t="s">
        <v>54</v>
      </c>
    </row>
    <row r="44" spans="1:19" x14ac:dyDescent="0.35">
      <c r="A44" s="2">
        <f t="shared" ca="1" si="0"/>
        <v>46099</v>
      </c>
      <c r="B44" s="3" t="str">
        <f t="shared" si="1"/>
        <v>P043</v>
      </c>
      <c r="C44" s="3" t="str" cm="1">
        <f t="array" aca="1" ref="C44" ca="1">IF(D44="MALE",INDEX(O44:O49,RANDBETWEEN(1,COUNTA(O44:O49))),INDEX(N44:N93,RANDBETWEEN(1,COUNTA(N44:N93))))</f>
        <v>Ram</v>
      </c>
      <c r="D44" s="3" t="str">
        <f t="shared" ca="1" si="2"/>
        <v>MALE</v>
      </c>
      <c r="E44" s="3">
        <f t="shared" ca="1" si="3"/>
        <v>23</v>
      </c>
      <c r="F44" s="3" t="s">
        <v>9</v>
      </c>
      <c r="G44" s="5" t="s">
        <v>36</v>
      </c>
      <c r="H44" s="3">
        <f t="shared" ca="1" si="4"/>
        <v>5421</v>
      </c>
      <c r="I44" t="str" cm="1">
        <f t="array" aca="1" ref="I44" ca="1">INDEX($M$1:$M$5,RANDBETWEEN(1,5))</f>
        <v>Dr . Gupta</v>
      </c>
      <c r="J44" s="3" t="str">
        <f t="shared" ca="1" si="5"/>
        <v>UPI</v>
      </c>
      <c r="K44" t="str" cm="1">
        <f t="array" aca="1" ref="K44" ca="1">INDEX($S$51:$S$60,RANDBETWEEN(1,COUNTIF($S$51:$S$60,"&lt;&gt;")))</f>
        <v>NAGPUR</v>
      </c>
      <c r="L44" s="3" t="str">
        <f t="shared" ca="1" si="6"/>
        <v>Completed</v>
      </c>
      <c r="N44" t="s">
        <v>48</v>
      </c>
      <c r="O44" t="s">
        <v>23</v>
      </c>
      <c r="S44" t="s">
        <v>55</v>
      </c>
    </row>
    <row r="45" spans="1:19" x14ac:dyDescent="0.35">
      <c r="A45" s="2">
        <f t="shared" ca="1" si="0"/>
        <v>46100</v>
      </c>
      <c r="B45" s="3" t="str">
        <f t="shared" si="1"/>
        <v>P044</v>
      </c>
      <c r="C45" s="3" t="str" cm="1">
        <f t="array" aca="1" ref="C45" ca="1">IF(D45="MALE",INDEX(O45:O50,RANDBETWEEN(1,COUNTA(O45:O50))),INDEX(N45:N94,RANDBETWEEN(1,COUNTA(N45:N94))))</f>
        <v>Karan</v>
      </c>
      <c r="D45" s="3" t="str">
        <f t="shared" ca="1" si="2"/>
        <v>MALE</v>
      </c>
      <c r="E45" s="3">
        <f t="shared" ca="1" si="3"/>
        <v>28</v>
      </c>
      <c r="F45" s="3" t="s">
        <v>9</v>
      </c>
      <c r="G45" s="5" t="s">
        <v>36</v>
      </c>
      <c r="H45" s="3">
        <f t="shared" ca="1" si="4"/>
        <v>8864</v>
      </c>
      <c r="I45" t="str" cm="1">
        <f t="array" aca="1" ref="I45" ca="1">INDEX($M$1:$M$5,RANDBETWEEN(1,5))</f>
        <v>Dr . Singh</v>
      </c>
      <c r="J45" s="3" t="str">
        <f t="shared" ca="1" si="5"/>
        <v>Card</v>
      </c>
      <c r="K45" t="str" cm="1">
        <f t="array" aca="1" ref="K45" ca="1">INDEX($S$51:$S$60,RANDBETWEEN(1,COUNTIF($S$51:$S$60,"&lt;&gt;")))</f>
        <v>PUNE</v>
      </c>
      <c r="L45" s="3" t="str">
        <f t="shared" ca="1" si="6"/>
        <v>Pending</v>
      </c>
      <c r="N45" t="s">
        <v>40</v>
      </c>
      <c r="O45" t="s">
        <v>22</v>
      </c>
      <c r="S45" t="s">
        <v>56</v>
      </c>
    </row>
    <row r="46" spans="1:19" x14ac:dyDescent="0.35">
      <c r="A46" s="2">
        <f t="shared" ca="1" si="0"/>
        <v>46053</v>
      </c>
      <c r="B46" s="3" t="str">
        <f t="shared" si="1"/>
        <v>P045</v>
      </c>
      <c r="C46" s="3" t="str" cm="1">
        <f t="array" aca="1" ref="C46" ca="1">IF(D46="MALE",INDEX(O46:O51,RANDBETWEEN(1,COUNTA(O46:O51))),INDEX(N46:N95,RANDBETWEEN(1,COUNTA(N46:N95))))</f>
        <v>Vansh</v>
      </c>
      <c r="D46" s="3" t="str">
        <f t="shared" ca="1" si="2"/>
        <v>MALE</v>
      </c>
      <c r="E46" s="3">
        <f t="shared" ca="1" si="3"/>
        <v>35</v>
      </c>
      <c r="F46" s="3" t="s">
        <v>8</v>
      </c>
      <c r="G46" s="5" t="s">
        <v>36</v>
      </c>
      <c r="H46" s="3">
        <f t="shared" ca="1" si="4"/>
        <v>1117</v>
      </c>
      <c r="I46" t="str" cm="1">
        <f t="array" aca="1" ref="I46" ca="1">INDEX($M$1:$M$5,RANDBETWEEN(1,5))</f>
        <v>Dr . Khan</v>
      </c>
      <c r="J46" s="3" t="str">
        <f t="shared" ca="1" si="5"/>
        <v>Cash</v>
      </c>
      <c r="K46" t="str" cm="1">
        <f t="array" aca="1" ref="K46" ca="1">INDEX($S$51:$S$60,RANDBETWEEN(1,COUNTIF($S$51:$S$60,"&lt;&gt;")))</f>
        <v>JAIPUR</v>
      </c>
      <c r="L46" s="3" t="str">
        <f t="shared" ca="1" si="6"/>
        <v>Completed</v>
      </c>
      <c r="N46" t="s">
        <v>41</v>
      </c>
      <c r="O46" t="s">
        <v>44</v>
      </c>
      <c r="S46" t="s">
        <v>57</v>
      </c>
    </row>
    <row r="47" spans="1:19" x14ac:dyDescent="0.35">
      <c r="A47" s="2">
        <f t="shared" ca="1" si="0"/>
        <v>46059</v>
      </c>
      <c r="B47" s="3" t="str">
        <f t="shared" si="1"/>
        <v>P046</v>
      </c>
      <c r="C47" s="3" t="str" cm="1">
        <f t="array" aca="1" ref="C47" ca="1">IF(D47="MALE",INDEX(O47:O52,RANDBETWEEN(1,COUNTA(O47:O52))),INDEX(N47:N96,RANDBETWEEN(1,COUNTA(N47:N96))))</f>
        <v>Ram</v>
      </c>
      <c r="D47" s="3" t="str">
        <f t="shared" ca="1" si="2"/>
        <v>MALE</v>
      </c>
      <c r="E47" s="3">
        <f t="shared" ca="1" si="3"/>
        <v>64</v>
      </c>
      <c r="F47" s="3" t="s">
        <v>9</v>
      </c>
      <c r="G47" s="5" t="s">
        <v>35</v>
      </c>
      <c r="H47" s="3">
        <f t="shared" ca="1" si="4"/>
        <v>7151</v>
      </c>
      <c r="I47" t="str" cm="1">
        <f t="array" aca="1" ref="I47" ca="1">INDEX($M$1:$M$5,RANDBETWEEN(1,5))</f>
        <v>Dr . Singh</v>
      </c>
      <c r="J47" s="3" t="str">
        <f t="shared" ca="1" si="5"/>
        <v>Card</v>
      </c>
      <c r="K47" t="str" cm="1">
        <f t="array" aca="1" ref="K47" ca="1">INDEX($S$51:$S$60,RANDBETWEEN(1,COUNTIF($S$51:$S$60,"&lt;&gt;")))</f>
        <v>INDORE</v>
      </c>
      <c r="L47" s="3" t="str">
        <f t="shared" ca="1" si="6"/>
        <v>Completed</v>
      </c>
      <c r="N47" t="s">
        <v>26</v>
      </c>
      <c r="O47" t="s">
        <v>45</v>
      </c>
      <c r="S47" t="s">
        <v>58</v>
      </c>
    </row>
    <row r="48" spans="1:19" x14ac:dyDescent="0.35">
      <c r="A48" s="2">
        <f t="shared" ca="1" si="0"/>
        <v>46043</v>
      </c>
      <c r="B48" s="3" t="str">
        <f t="shared" si="1"/>
        <v>P047</v>
      </c>
      <c r="C48" s="3" t="str" cm="1">
        <f t="array" aca="1" ref="C48" ca="1">IF(D48="MALE",INDEX(O48:O53,RANDBETWEEN(1,COUNTA(O48:O53))),INDEX(N48:N97,RANDBETWEEN(1,COUNTA(N48:N97))))</f>
        <v>Vansh</v>
      </c>
      <c r="D48" s="3" t="str">
        <f t="shared" ca="1" si="2"/>
        <v>MALE</v>
      </c>
      <c r="E48" s="3">
        <f t="shared" ca="1" si="3"/>
        <v>29</v>
      </c>
      <c r="F48" s="3" t="s">
        <v>8</v>
      </c>
      <c r="G48" s="5" t="s">
        <v>34</v>
      </c>
      <c r="H48" s="3">
        <f t="shared" ca="1" si="4"/>
        <v>1740</v>
      </c>
      <c r="I48" t="str" cm="1">
        <f t="array" aca="1" ref="I48" ca="1">INDEX($M$1:$M$5,RANDBETWEEN(1,5))</f>
        <v>Dr . Verma</v>
      </c>
      <c r="J48" s="3" t="str">
        <f t="shared" ca="1" si="5"/>
        <v>UPI</v>
      </c>
      <c r="K48" t="str" cm="1">
        <f t="array" aca="1" ref="K48" ca="1">INDEX($S$51:$S$60,RANDBETWEEN(1,COUNTIF($S$51:$S$60,"&lt;&gt;")))</f>
        <v>PUNE</v>
      </c>
      <c r="L48" s="3" t="str">
        <f t="shared" ca="1" si="6"/>
        <v>Pending</v>
      </c>
      <c r="N48" t="s">
        <v>24</v>
      </c>
      <c r="O48" t="s">
        <v>46</v>
      </c>
      <c r="S48" t="s">
        <v>51</v>
      </c>
    </row>
    <row r="49" spans="1:19" x14ac:dyDescent="0.35">
      <c r="A49" s="2">
        <f t="shared" ca="1" si="0"/>
        <v>46053</v>
      </c>
      <c r="B49" s="3" t="str">
        <f t="shared" si="1"/>
        <v>P048</v>
      </c>
      <c r="C49" s="3" t="str" cm="1">
        <f t="array" aca="1" ref="C49" ca="1">IF(D49="MALE",INDEX(O49:O54,RANDBETWEEN(1,COUNTA(O49:O54))),INDEX(N49:N98,RANDBETWEEN(1,COUNTA(N49:N98))))</f>
        <v>Vansh</v>
      </c>
      <c r="D49" s="3" t="str">
        <f t="shared" ca="1" si="2"/>
        <v>MALE</v>
      </c>
      <c r="E49" s="3">
        <f t="shared" ca="1" si="3"/>
        <v>62</v>
      </c>
      <c r="F49" s="3" t="s">
        <v>7</v>
      </c>
      <c r="G49" s="5" t="s">
        <v>36</v>
      </c>
      <c r="H49" s="3">
        <f t="shared" ca="1" si="4"/>
        <v>5914</v>
      </c>
      <c r="I49" t="str" cm="1">
        <f t="array" aca="1" ref="I49" ca="1">INDEX($M$1:$M$5,RANDBETWEEN(1,5))</f>
        <v>Dr . Singh</v>
      </c>
      <c r="J49" s="3" t="str">
        <f t="shared" ca="1" si="5"/>
        <v>UPI</v>
      </c>
      <c r="K49" t="str" cm="1">
        <f t="array" aca="1" ref="K49" ca="1">INDEX($S$51:$S$60,RANDBETWEEN(1,COUNTIF($S$51:$S$60,"&lt;&gt;")))</f>
        <v>LUCKNOW</v>
      </c>
      <c r="L49" s="3" t="str">
        <f t="shared" ca="1" si="6"/>
        <v>Completed</v>
      </c>
      <c r="N49" t="s">
        <v>25</v>
      </c>
      <c r="O49" t="s">
        <v>47</v>
      </c>
      <c r="S49" t="s">
        <v>52</v>
      </c>
    </row>
    <row r="50" spans="1:19" x14ac:dyDescent="0.35">
      <c r="A50" s="2">
        <f t="shared" ca="1" si="0"/>
        <v>46103</v>
      </c>
      <c r="B50" s="3" t="str">
        <f t="shared" si="1"/>
        <v>P049</v>
      </c>
      <c r="C50" s="3" t="str" cm="1">
        <f t="array" aca="1" ref="C50" ca="1">IF(D50="MALE",INDEX(O50:O55,RANDBETWEEN(1,COUNTA(O50:O55))),INDEX(N50:N99,RANDBETWEEN(1,COUNTA(N50:N99))))</f>
        <v>Radha</v>
      </c>
      <c r="D50" s="3" t="str">
        <f t="shared" ca="1" si="2"/>
        <v>FEMALE</v>
      </c>
      <c r="E50" s="3">
        <f t="shared" ca="1" si="3"/>
        <v>51</v>
      </c>
      <c r="F50" s="3" t="s">
        <v>8</v>
      </c>
      <c r="G50" s="5" t="s">
        <v>37</v>
      </c>
      <c r="H50" s="3">
        <f t="shared" ca="1" si="4"/>
        <v>5506</v>
      </c>
      <c r="I50" t="str" cm="1">
        <f t="array" aca="1" ref="I50" ca="1">INDEX($M$1:$M$5,RANDBETWEEN(1,5))</f>
        <v>Dr . Sharma</v>
      </c>
      <c r="J50" s="3" t="str">
        <f t="shared" ca="1" si="5"/>
        <v>UPI</v>
      </c>
      <c r="K50" t="str" cm="1">
        <f t="array" aca="1" ref="K50" ca="1">INDEX($S$51:$S$60,RANDBETWEEN(1,COUNTIF($S$51:$S$60,"&lt;&gt;")))</f>
        <v>NAGPUR</v>
      </c>
      <c r="L50" s="3" t="str">
        <f t="shared" ca="1" si="6"/>
        <v>Pending</v>
      </c>
      <c r="N50" t="s">
        <v>48</v>
      </c>
      <c r="O50" t="s">
        <v>23</v>
      </c>
      <c r="S50" t="s">
        <v>53</v>
      </c>
    </row>
    <row r="51" spans="1:19" x14ac:dyDescent="0.35">
      <c r="A51" s="2">
        <f t="shared" ca="1" si="0"/>
        <v>46110</v>
      </c>
      <c r="B51" s="3" t="str">
        <f t="shared" si="1"/>
        <v>P050</v>
      </c>
      <c r="C51" s="3" t="str" cm="1">
        <f t="array" aca="1" ref="C51" ca="1">IF(D51="MALE",INDEX(O51:O56,RANDBETWEEN(1,COUNTA(O51:O56))),INDEX(N51:N100,RANDBETWEEN(1,COUNTA(N51:N100))))</f>
        <v>Ram</v>
      </c>
      <c r="D51" s="3" t="str">
        <f t="shared" ca="1" si="2"/>
        <v>MALE</v>
      </c>
      <c r="E51" s="3">
        <f t="shared" ca="1" si="3"/>
        <v>37</v>
      </c>
      <c r="F51" s="3" t="s">
        <v>8</v>
      </c>
      <c r="G51" s="5" t="s">
        <v>35</v>
      </c>
      <c r="H51" s="3">
        <f t="shared" ca="1" si="4"/>
        <v>7989</v>
      </c>
      <c r="I51" t="str" cm="1">
        <f t="array" aca="1" ref="I51" ca="1">INDEX($M$1:$M$5,RANDBETWEEN(1,5))</f>
        <v>Dr . Verma</v>
      </c>
      <c r="J51" s="3" t="str">
        <f t="shared" ca="1" si="5"/>
        <v>UPI</v>
      </c>
      <c r="K51" t="str" cm="1">
        <f t="array" aca="1" ref="K51" ca="1">INDEX($S$51:$S$60,RANDBETWEEN(1,COUNTIF($S$51:$S$60,"&lt;&gt;")))</f>
        <v>PUNE</v>
      </c>
      <c r="L51" s="3" t="str">
        <f t="shared" ca="1" si="6"/>
        <v>Pending</v>
      </c>
      <c r="N51" t="s">
        <v>40</v>
      </c>
      <c r="O51" t="s">
        <v>22</v>
      </c>
      <c r="S51" t="s">
        <v>54</v>
      </c>
    </row>
    <row r="52" spans="1:19" x14ac:dyDescent="0.35">
      <c r="N52" t="s">
        <v>41</v>
      </c>
      <c r="O52" t="s">
        <v>44</v>
      </c>
      <c r="S52" t="s">
        <v>55</v>
      </c>
    </row>
    <row r="53" spans="1:19" x14ac:dyDescent="0.35">
      <c r="N53" t="s">
        <v>26</v>
      </c>
      <c r="O53" t="s">
        <v>45</v>
      </c>
      <c r="S53" t="s">
        <v>56</v>
      </c>
    </row>
    <row r="54" spans="1:19" x14ac:dyDescent="0.35">
      <c r="N54" t="s">
        <v>24</v>
      </c>
      <c r="O54" t="s">
        <v>46</v>
      </c>
      <c r="S54" t="s">
        <v>57</v>
      </c>
    </row>
    <row r="55" spans="1:19" x14ac:dyDescent="0.35">
      <c r="N55" t="s">
        <v>25</v>
      </c>
      <c r="O55" t="s">
        <v>47</v>
      </c>
      <c r="S55" t="s">
        <v>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8E99E-88E6-404D-BEAC-EC8B99B34B5B}">
  <dimension ref="A3:D8"/>
  <sheetViews>
    <sheetView workbookViewId="0">
      <selection activeCell="D18" sqref="D18"/>
    </sheetView>
  </sheetViews>
  <sheetFormatPr defaultRowHeight="14.5" x14ac:dyDescent="0.35"/>
  <cols>
    <col min="1" max="1" width="12.36328125" bestFit="1" customWidth="1"/>
    <col min="2" max="2" width="14.36328125" bestFit="1" customWidth="1"/>
    <col min="3" max="3" width="12.36328125" bestFit="1" customWidth="1"/>
    <col min="4" max="4" width="20.7265625" bestFit="1" customWidth="1"/>
  </cols>
  <sheetData>
    <row r="3" spans="1:4" x14ac:dyDescent="0.35">
      <c r="A3" s="7" t="s">
        <v>60</v>
      </c>
      <c r="B3" t="s">
        <v>62</v>
      </c>
      <c r="C3" s="7" t="s">
        <v>60</v>
      </c>
      <c r="D3" t="s">
        <v>66</v>
      </c>
    </row>
    <row r="4" spans="1:4" x14ac:dyDescent="0.35">
      <c r="A4" s="8" t="s">
        <v>63</v>
      </c>
      <c r="B4">
        <v>76890</v>
      </c>
      <c r="C4" s="8" t="s">
        <v>63</v>
      </c>
      <c r="D4">
        <v>76890</v>
      </c>
    </row>
    <row r="5" spans="1:4" x14ac:dyDescent="0.35">
      <c r="A5" s="8" t="s">
        <v>64</v>
      </c>
      <c r="B5">
        <v>107332</v>
      </c>
      <c r="C5" s="8" t="s">
        <v>64</v>
      </c>
      <c r="D5">
        <v>107332</v>
      </c>
    </row>
    <row r="6" spans="1:4" x14ac:dyDescent="0.35">
      <c r="A6" s="8" t="s">
        <v>65</v>
      </c>
      <c r="B6">
        <v>89023</v>
      </c>
      <c r="C6" s="8" t="s">
        <v>65</v>
      </c>
      <c r="D6">
        <v>89023</v>
      </c>
    </row>
    <row r="7" spans="1:4" x14ac:dyDescent="0.35">
      <c r="A7" s="8" t="s">
        <v>61</v>
      </c>
      <c r="B7">
        <v>273245</v>
      </c>
      <c r="C7" s="8" t="s">
        <v>61</v>
      </c>
      <c r="D7">
        <v>273245</v>
      </c>
    </row>
    <row r="8" spans="1:4" x14ac:dyDescent="0.35">
      <c r="C8" s="8" t="s">
        <v>61</v>
      </c>
      <c r="D8">
        <v>546490</v>
      </c>
    </row>
  </sheetData>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Sheet1</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Swati sahu</dc:creator>
  <cp:lastModifiedBy>Swati sahu</cp:lastModifiedBy>
  <dcterms:created xsi:type="dcterms:W3CDTF">2026-03-30T14:23:47Z</dcterms:created>
  <dcterms:modified xsi:type="dcterms:W3CDTF">2026-04-08T10:52:59Z</dcterms:modified>
</cp:coreProperties>
</file>